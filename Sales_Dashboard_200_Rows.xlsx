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https://d.docs.live.net/d86377a9abc08e6e/Desktop/Data Analytics/Excel/"/>
    </mc:Choice>
  </mc:AlternateContent>
  <xr:revisionPtr revIDLastSave="1" documentId="13_ncr:1_{1D4A15D8-154A-4383-B810-9B1E7DBFCDAD}" xr6:coauthVersionLast="47" xr6:coauthVersionMax="47" xr10:uidLastSave="{4979D9D9-9CA9-40FB-A360-D09311BB8825}"/>
  <bookViews>
    <workbookView xWindow="-108" yWindow="-108" windowWidth="23256" windowHeight="12576" activeTab="3" xr2:uid="{00000000-000D-0000-FFFF-FFFF00000000}"/>
  </bookViews>
  <sheets>
    <sheet name="Sales Data" sheetId="1" r:id="rId1"/>
    <sheet name="Sheet2" sheetId="8" r:id="rId2"/>
    <sheet name="KPI Summary" sheetId="2" r:id="rId3"/>
    <sheet name="Dashboard" sheetId="7" r:id="rId4"/>
    <sheet name="Sheet1" sheetId="9" r:id="rId5"/>
  </sheets>
  <definedNames>
    <definedName name="_xlnm._FilterDatabase" localSheetId="0" hidden="1">'Sales Data'!$A$1:$S$201</definedName>
    <definedName name="_xlcn.WorksheetConnection_Sales_Dashboard_200_Rows.xlsxTable11" hidden="1">Table1[]</definedName>
    <definedName name="ExternalData_1" localSheetId="1" hidden="1">Sheet2!$A$3:$S$24</definedName>
    <definedName name="Slicer_Product">#N/A</definedName>
    <definedName name="Slicer_Region">#N/A</definedName>
  </definedNames>
  <calcPr calcId="191029"/>
  <pivotCaches>
    <pivotCache cacheId="159" r:id="rId6"/>
    <pivotCache cacheId="162" r:id="rId7"/>
    <pivotCache cacheId="165" r:id="rId8"/>
    <pivotCache cacheId="168" r:id="rId9"/>
    <pivotCache cacheId="171" r:id="rId10"/>
    <pivotCache cacheId="174" r:id="rId11"/>
    <pivotCache cacheId="177" r:id="rId12"/>
    <pivotCache cacheId="180" r:id="rId13"/>
    <pivotCache cacheId="183" r:id="rId14"/>
    <pivotCache cacheId="186" r:id="rId15"/>
    <pivotCache cacheId="189" r:id="rId16"/>
    <pivotCache cacheId="192"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ce502fd7-3bf8-4c3d-a733-a8f0a4c6eb5c" name="Table1" connection="WorksheetConnection_Sales_Dashboard_200_Row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8B8788-D6FC-422E-9C59-5194E8196E6C}" keepAlive="1" name="ModelConnection_ExternalData_1" description="Data Model" type="5" refreshedVersion="8" minRefreshableVersion="5" saveData="1">
    <dbPr connection="Data Model Connection" command="DRILLTHROUGH MAXROWS 1000 SELECT FROM [Model] WHERE (([Table1].[Region].[All],[Measures].[Sum of Cost],[Table1].[Product].&amp;[Desk])) RETURN [$Table1].[Sr. No.],[$Table1].[Date],[$Table1].[Order ID],[$Table1].[Customer Name],[$Table1].[Salesperson],[$Table1].[State],[$Table1].[City],[$Table1].[Region],[$Table1].[Product],[$Table1].[Category],[$Table1].[Quantity],[$Table1].[Unit Price],[$Table1].[Discount %],[$Table1].[Sales Amount],[$Table1].[Cost],[$Table1].[Profit],[$Table1].[Payment Mode],[$Table1].[Customer Type],[$Table1].[Sales Channel]" commandType="4"/>
    <extLst>
      <ext xmlns:x15="http://schemas.microsoft.com/office/spreadsheetml/2010/11/main" uri="{DE250136-89BD-433C-8126-D09CA5730AF9}">
        <x15:connection id="" model="1"/>
      </ext>
    </extLst>
  </connection>
  <connection id="2"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0000000-0015-0000-FFFF-FFFF01000000}" name="WorksheetConnection_Sales_Dashboard_200_Rows.xlsx!Table1" type="102" refreshedVersion="5" minRefreshableVersion="5">
    <extLst>
      <ext xmlns:x15="http://schemas.microsoft.com/office/spreadsheetml/2010/11/main" uri="{DE250136-89BD-433C-8126-D09CA5730AF9}">
        <x15:connection id="Table1-ce502fd7-3bf8-4c3d-a733-a8f0a4c6eb5c" autoDelete="1">
          <x15:rangePr sourceName="_xlcn.WorksheetConnection_Sales_Dashboard_200_Rows.xlsxTable11"/>
        </x15:connection>
      </ext>
    </extLst>
  </connection>
</connections>
</file>

<file path=xl/sharedStrings.xml><?xml version="1.0" encoding="utf-8"?>
<sst xmlns="http://schemas.openxmlformats.org/spreadsheetml/2006/main" count="2805" uniqueCount="642">
  <si>
    <t>Sr. No.</t>
  </si>
  <si>
    <t>Date</t>
  </si>
  <si>
    <t>Order ID</t>
  </si>
  <si>
    <t>Customer Name</t>
  </si>
  <si>
    <t>Salesperson</t>
  </si>
  <si>
    <t>State</t>
  </si>
  <si>
    <t>City</t>
  </si>
  <si>
    <t>Region</t>
  </si>
  <si>
    <t>Product</t>
  </si>
  <si>
    <t>Category</t>
  </si>
  <si>
    <t>Quantity</t>
  </si>
  <si>
    <t>Unit Price</t>
  </si>
  <si>
    <t>Discount %</t>
  </si>
  <si>
    <t>Sales Amount</t>
  </si>
  <si>
    <t>Cost</t>
  </si>
  <si>
    <t>Profit</t>
  </si>
  <si>
    <t>Payment Mode</t>
  </si>
  <si>
    <t>Customer Type</t>
  </si>
  <si>
    <t>Sales Channel</t>
  </si>
  <si>
    <t>13-06-2026</t>
  </si>
  <si>
    <t>ORD1001</t>
  </si>
  <si>
    <t>Customer 001</t>
  </si>
  <si>
    <t>Sneha Joshi</t>
  </si>
  <si>
    <t>Maharashtra</t>
  </si>
  <si>
    <t>Pune</t>
  </si>
  <si>
    <t>West</t>
  </si>
  <si>
    <t>Laptop</t>
  </si>
  <si>
    <t>Electronics</t>
  </si>
  <si>
    <t>UPI</t>
  </si>
  <si>
    <t>Retail</t>
  </si>
  <si>
    <t>Dealer</t>
  </si>
  <si>
    <t>27-01-2026</t>
  </si>
  <si>
    <t>ORD1002</t>
  </si>
  <si>
    <t>Customer 002</t>
  </si>
  <si>
    <t>Rohan Mehta</t>
  </si>
  <si>
    <t>West Bengal</t>
  </si>
  <si>
    <t>Kolkata</t>
  </si>
  <si>
    <t>East</t>
  </si>
  <si>
    <t>Webcam</t>
  </si>
  <si>
    <t>Accessories</t>
  </si>
  <si>
    <t>Cash</t>
  </si>
  <si>
    <t>Online</t>
  </si>
  <si>
    <t>25-02-2026</t>
  </si>
  <si>
    <t>ORD1003</t>
  </si>
  <si>
    <t>Customer 003</t>
  </si>
  <si>
    <t>Nashik</t>
  </si>
  <si>
    <t>Office Chair</t>
  </si>
  <si>
    <t>Furniture</t>
  </si>
  <si>
    <t>Net Banking</t>
  </si>
  <si>
    <t>Corporate</t>
  </si>
  <si>
    <t>25-04-2026</t>
  </si>
  <si>
    <t>ORD1004</t>
  </si>
  <si>
    <t>Customer 004</t>
  </si>
  <si>
    <t>Rahul Verma</t>
  </si>
  <si>
    <t>Uttar Pradesh</t>
  </si>
  <si>
    <t>Lucknow</t>
  </si>
  <si>
    <t>North</t>
  </si>
  <si>
    <t>Printer</t>
  </si>
  <si>
    <t>Debit Card</t>
  </si>
  <si>
    <t>Store</t>
  </si>
  <si>
    <t>09-02-2026</t>
  </si>
  <si>
    <t>ORD1005</t>
  </si>
  <si>
    <t>Customer 005</t>
  </si>
  <si>
    <t>Keyboard</t>
  </si>
  <si>
    <t>04-06-2026</t>
  </si>
  <si>
    <t>ORD1006</t>
  </si>
  <si>
    <t>Customer 006</t>
  </si>
  <si>
    <t>Priya Patil</t>
  </si>
  <si>
    <t>Gujarat</t>
  </si>
  <si>
    <t>Ahmedabad</t>
  </si>
  <si>
    <t>17-03-2026</t>
  </si>
  <si>
    <t>ORD1007</t>
  </si>
  <si>
    <t>Customer 007</t>
  </si>
  <si>
    <t>Desk</t>
  </si>
  <si>
    <t>28-02-2026</t>
  </si>
  <si>
    <t>ORD1008</t>
  </si>
  <si>
    <t>Customer 008</t>
  </si>
  <si>
    <t>Mobile</t>
  </si>
  <si>
    <t>12-06-2026</t>
  </si>
  <si>
    <t>ORD1009</t>
  </si>
  <si>
    <t>Customer 009</t>
  </si>
  <si>
    <t>Surat</t>
  </si>
  <si>
    <t>Tablet</t>
  </si>
  <si>
    <t>Credit Card</t>
  </si>
  <si>
    <t>Wholesale</t>
  </si>
  <si>
    <t>15-06-2026</t>
  </si>
  <si>
    <t>ORD1010</t>
  </si>
  <si>
    <t>Customer 010</t>
  </si>
  <si>
    <t>11-03-2026</t>
  </si>
  <si>
    <t>ORD1011</t>
  </si>
  <si>
    <t>Customer 011</t>
  </si>
  <si>
    <t>Neha Deshmukh</t>
  </si>
  <si>
    <t>26-07-2026</t>
  </si>
  <si>
    <t>ORD1012</t>
  </si>
  <si>
    <t>Customer 012</t>
  </si>
  <si>
    <t>Mouse</t>
  </si>
  <si>
    <t>24-02-2026</t>
  </si>
  <si>
    <t>ORD1013</t>
  </si>
  <si>
    <t>Customer 013</t>
  </si>
  <si>
    <t>Pooja Shah</t>
  </si>
  <si>
    <t>Headphones</t>
  </si>
  <si>
    <t>05-03-2026</t>
  </si>
  <si>
    <t>ORD1014</t>
  </si>
  <si>
    <t>Customer 014</t>
  </si>
  <si>
    <t>Rajasthan</t>
  </si>
  <si>
    <t>Jaipur</t>
  </si>
  <si>
    <t>26-02-2026</t>
  </si>
  <si>
    <t>ORD1015</t>
  </si>
  <si>
    <t>Customer 015</t>
  </si>
  <si>
    <t>Aarav Sharma</t>
  </si>
  <si>
    <t>Nagpur</t>
  </si>
  <si>
    <t>Central</t>
  </si>
  <si>
    <t>10-02-2026</t>
  </si>
  <si>
    <t>ORD1016</t>
  </si>
  <si>
    <t>Customer 016</t>
  </si>
  <si>
    <t>16-05-2026</t>
  </si>
  <si>
    <t>ORD1017</t>
  </si>
  <si>
    <t>Customer 017</t>
  </si>
  <si>
    <t>29-03-2026</t>
  </si>
  <si>
    <t>ORD1018</t>
  </si>
  <si>
    <t>Customer 018</t>
  </si>
  <si>
    <t>09-03-2026</t>
  </si>
  <si>
    <t>ORD1019</t>
  </si>
  <si>
    <t>Customer 019</t>
  </si>
  <si>
    <t>Amit Kulkarni</t>
  </si>
  <si>
    <t>Delhi</t>
  </si>
  <si>
    <t>New Delhi</t>
  </si>
  <si>
    <t>ORD1020</t>
  </si>
  <si>
    <t>Customer 020</t>
  </si>
  <si>
    <t>05-01-2026</t>
  </si>
  <si>
    <t>ORD1021</t>
  </si>
  <si>
    <t>Customer 021</t>
  </si>
  <si>
    <t>22-01-2026</t>
  </si>
  <si>
    <t>ORD1022</t>
  </si>
  <si>
    <t>Customer 022</t>
  </si>
  <si>
    <t>21-05-2026</t>
  </si>
  <si>
    <t>ORD1023</t>
  </si>
  <si>
    <t>Customer 023</t>
  </si>
  <si>
    <t>26-06-2026</t>
  </si>
  <si>
    <t>ORD1024</t>
  </si>
  <si>
    <t>Customer 024</t>
  </si>
  <si>
    <t>31-01-2026</t>
  </si>
  <si>
    <t>ORD1025</t>
  </si>
  <si>
    <t>Customer 025</t>
  </si>
  <si>
    <t>Monitor</t>
  </si>
  <si>
    <t>31-05-2026</t>
  </si>
  <si>
    <t>ORD1026</t>
  </si>
  <si>
    <t>Customer 026</t>
  </si>
  <si>
    <t>09-08-2026</t>
  </si>
  <si>
    <t>ORD1027</t>
  </si>
  <si>
    <t>Customer 027</t>
  </si>
  <si>
    <t>03-02-2026</t>
  </si>
  <si>
    <t>ORD1028</t>
  </si>
  <si>
    <t>Customer 028</t>
  </si>
  <si>
    <t>25-01-2026</t>
  </si>
  <si>
    <t>ORD1029</t>
  </si>
  <si>
    <t>Customer 029</t>
  </si>
  <si>
    <t>Bookshelf</t>
  </si>
  <si>
    <t>14-01-2026</t>
  </si>
  <si>
    <t>ORD1030</t>
  </si>
  <si>
    <t>Customer 030</t>
  </si>
  <si>
    <t>24-07-2026</t>
  </si>
  <si>
    <t>ORD1031</t>
  </si>
  <si>
    <t>Customer 031</t>
  </si>
  <si>
    <t>13-03-2026</t>
  </si>
  <si>
    <t>ORD1032</t>
  </si>
  <si>
    <t>Customer 032</t>
  </si>
  <si>
    <t>Tamil Nadu</t>
  </si>
  <si>
    <t>Chennai</t>
  </si>
  <si>
    <t>South</t>
  </si>
  <si>
    <t>03-08-2026</t>
  </si>
  <si>
    <t>ORD1033</t>
  </si>
  <si>
    <t>Customer 033</t>
  </si>
  <si>
    <t>Mumbai</t>
  </si>
  <si>
    <t>10-08-2026</t>
  </si>
  <si>
    <t>ORD1034</t>
  </si>
  <si>
    <t>Customer 034</t>
  </si>
  <si>
    <t>Karnataka</t>
  </si>
  <si>
    <t>Bengaluru</t>
  </si>
  <si>
    <t>15-03-2026</t>
  </si>
  <si>
    <t>ORD1035</t>
  </si>
  <si>
    <t>Customer 035</t>
  </si>
  <si>
    <t>ORD1036</t>
  </si>
  <si>
    <t>Customer 036</t>
  </si>
  <si>
    <t>30-05-2026</t>
  </si>
  <si>
    <t>ORD1037</t>
  </si>
  <si>
    <t>Customer 037</t>
  </si>
  <si>
    <t>18-01-2026</t>
  </si>
  <si>
    <t>ORD1038</t>
  </si>
  <si>
    <t>Customer 038</t>
  </si>
  <si>
    <t>ORD1039</t>
  </si>
  <si>
    <t>Customer 039</t>
  </si>
  <si>
    <t>25-05-2026</t>
  </si>
  <si>
    <t>ORD1040</t>
  </si>
  <si>
    <t>Customer 040</t>
  </si>
  <si>
    <t>ORD1041</t>
  </si>
  <si>
    <t>Customer 041</t>
  </si>
  <si>
    <t>09-06-2026</t>
  </si>
  <si>
    <t>ORD1042</t>
  </si>
  <si>
    <t>Customer 042</t>
  </si>
  <si>
    <t>27-08-2026</t>
  </si>
  <si>
    <t>ORD1043</t>
  </si>
  <si>
    <t>Customer 043</t>
  </si>
  <si>
    <t>30-06-2026</t>
  </si>
  <si>
    <t>ORD1044</t>
  </si>
  <si>
    <t>Customer 044</t>
  </si>
  <si>
    <t>ORD1045</t>
  </si>
  <si>
    <t>Customer 045</t>
  </si>
  <si>
    <t>23-02-2026</t>
  </si>
  <si>
    <t>ORD1046</t>
  </si>
  <si>
    <t>Customer 046</t>
  </si>
  <si>
    <t>20-08-2026</t>
  </si>
  <si>
    <t>ORD1047</t>
  </si>
  <si>
    <t>Customer 047</t>
  </si>
  <si>
    <t>17-07-2026</t>
  </si>
  <si>
    <t>ORD1048</t>
  </si>
  <si>
    <t>Customer 048</t>
  </si>
  <si>
    <t>24-05-2026</t>
  </si>
  <si>
    <t>ORD1049</t>
  </si>
  <si>
    <t>Customer 049</t>
  </si>
  <si>
    <t>ORD1050</t>
  </si>
  <si>
    <t>Customer 050</t>
  </si>
  <si>
    <t>19-08-2026</t>
  </si>
  <si>
    <t>ORD1051</t>
  </si>
  <si>
    <t>Customer 051</t>
  </si>
  <si>
    <t>08-06-2026</t>
  </si>
  <si>
    <t>ORD1052</t>
  </si>
  <si>
    <t>Customer 052</t>
  </si>
  <si>
    <t>15-02-2026</t>
  </si>
  <si>
    <t>ORD1053</t>
  </si>
  <si>
    <t>Customer 053</t>
  </si>
  <si>
    <t>28-01-2026</t>
  </si>
  <si>
    <t>ORD1054</t>
  </si>
  <si>
    <t>Customer 054</t>
  </si>
  <si>
    <t>30-07-2026</t>
  </si>
  <si>
    <t>ORD1055</t>
  </si>
  <si>
    <t>Customer 055</t>
  </si>
  <si>
    <t>ORD1056</t>
  </si>
  <si>
    <t>Customer 056</t>
  </si>
  <si>
    <t>30-01-2026</t>
  </si>
  <si>
    <t>ORD1057</t>
  </si>
  <si>
    <t>Customer 057</t>
  </si>
  <si>
    <t>30-03-2026</t>
  </si>
  <si>
    <t>ORD1058</t>
  </si>
  <si>
    <t>Customer 058</t>
  </si>
  <si>
    <t>07-03-2026</t>
  </si>
  <si>
    <t>ORD1059</t>
  </si>
  <si>
    <t>Customer 059</t>
  </si>
  <si>
    <t>20-06-2026</t>
  </si>
  <si>
    <t>ORD1060</t>
  </si>
  <si>
    <t>Customer 060</t>
  </si>
  <si>
    <t>ORD1061</t>
  </si>
  <si>
    <t>Customer 061</t>
  </si>
  <si>
    <t>18-04-2026</t>
  </si>
  <si>
    <t>ORD1062</t>
  </si>
  <si>
    <t>Customer 062</t>
  </si>
  <si>
    <t>14-04-2026</t>
  </si>
  <si>
    <t>ORD1063</t>
  </si>
  <si>
    <t>Customer 063</t>
  </si>
  <si>
    <t>17-06-2026</t>
  </si>
  <si>
    <t>ORD1064</t>
  </si>
  <si>
    <t>Customer 064</t>
  </si>
  <si>
    <t>13-02-2026</t>
  </si>
  <si>
    <t>ORD1065</t>
  </si>
  <si>
    <t>Customer 065</t>
  </si>
  <si>
    <t>21-03-2026</t>
  </si>
  <si>
    <t>ORD1066</t>
  </si>
  <si>
    <t>Customer 066</t>
  </si>
  <si>
    <t>06-08-2026</t>
  </si>
  <si>
    <t>ORD1067</t>
  </si>
  <si>
    <t>Customer 067</t>
  </si>
  <si>
    <t>04-03-2026</t>
  </si>
  <si>
    <t>ORD1068</t>
  </si>
  <si>
    <t>Customer 068</t>
  </si>
  <si>
    <t>25-07-2026</t>
  </si>
  <si>
    <t>ORD1069</t>
  </si>
  <si>
    <t>Customer 069</t>
  </si>
  <si>
    <t>ORD1070</t>
  </si>
  <si>
    <t>Customer 070</t>
  </si>
  <si>
    <t>17-08-2026</t>
  </si>
  <si>
    <t>ORD1071</t>
  </si>
  <si>
    <t>Customer 071</t>
  </si>
  <si>
    <t>12-07-2026</t>
  </si>
  <si>
    <t>ORD1072</t>
  </si>
  <si>
    <t>Customer 072</t>
  </si>
  <si>
    <t>20-01-2026</t>
  </si>
  <si>
    <t>ORD1073</t>
  </si>
  <si>
    <t>Customer 073</t>
  </si>
  <si>
    <t>05-02-2026</t>
  </si>
  <si>
    <t>ORD1074</t>
  </si>
  <si>
    <t>Customer 074</t>
  </si>
  <si>
    <t>15-04-2026</t>
  </si>
  <si>
    <t>ORD1075</t>
  </si>
  <si>
    <t>Customer 075</t>
  </si>
  <si>
    <t>ORD1076</t>
  </si>
  <si>
    <t>Customer 076</t>
  </si>
  <si>
    <t>18-03-2026</t>
  </si>
  <si>
    <t>ORD1077</t>
  </si>
  <si>
    <t>Customer 077</t>
  </si>
  <si>
    <t>22-04-2026</t>
  </si>
  <si>
    <t>ORD1078</t>
  </si>
  <si>
    <t>Customer 078</t>
  </si>
  <si>
    <t>ORD1079</t>
  </si>
  <si>
    <t>Customer 079</t>
  </si>
  <si>
    <t>04-02-2026</t>
  </si>
  <si>
    <t>ORD1080</t>
  </si>
  <si>
    <t>Customer 080</t>
  </si>
  <si>
    <t>25-03-2026</t>
  </si>
  <si>
    <t>ORD1081</t>
  </si>
  <si>
    <t>Customer 081</t>
  </si>
  <si>
    <t>ORD1082</t>
  </si>
  <si>
    <t>Customer 082</t>
  </si>
  <si>
    <t>13-07-2026</t>
  </si>
  <si>
    <t>ORD1083</t>
  </si>
  <si>
    <t>Customer 083</t>
  </si>
  <si>
    <t>02-02-2026</t>
  </si>
  <si>
    <t>ORD1084</t>
  </si>
  <si>
    <t>Customer 084</t>
  </si>
  <si>
    <t>16-07-2026</t>
  </si>
  <si>
    <t>ORD1085</t>
  </si>
  <si>
    <t>Customer 085</t>
  </si>
  <si>
    <t>29-05-2026</t>
  </si>
  <si>
    <t>ORD1086</t>
  </si>
  <si>
    <t>Customer 086</t>
  </si>
  <si>
    <t>ORD1087</t>
  </si>
  <si>
    <t>Customer 087</t>
  </si>
  <si>
    <t>ORD1088</t>
  </si>
  <si>
    <t>Customer 088</t>
  </si>
  <si>
    <t>ORD1089</t>
  </si>
  <si>
    <t>Customer 089</t>
  </si>
  <si>
    <t>ORD1090</t>
  </si>
  <si>
    <t>Customer 090</t>
  </si>
  <si>
    <t>07-06-2026</t>
  </si>
  <si>
    <t>ORD1091</t>
  </si>
  <si>
    <t>Customer 091</t>
  </si>
  <si>
    <t>ORD1092</t>
  </si>
  <si>
    <t>Customer 092</t>
  </si>
  <si>
    <t>ORD1093</t>
  </si>
  <si>
    <t>Customer 093</t>
  </si>
  <si>
    <t>14-08-2026</t>
  </si>
  <si>
    <t>ORD1094</t>
  </si>
  <si>
    <t>Customer 094</t>
  </si>
  <si>
    <t>03-03-2026</t>
  </si>
  <si>
    <t>ORD1095</t>
  </si>
  <si>
    <t>Customer 095</t>
  </si>
  <si>
    <t>06-05-2026</t>
  </si>
  <si>
    <t>ORD1096</t>
  </si>
  <si>
    <t>Customer 096</t>
  </si>
  <si>
    <t>20-03-2026</t>
  </si>
  <si>
    <t>ORD1097</t>
  </si>
  <si>
    <t>Customer 097</t>
  </si>
  <si>
    <t>26-03-2026</t>
  </si>
  <si>
    <t>ORD1098</t>
  </si>
  <si>
    <t>Customer 098</t>
  </si>
  <si>
    <t>04-07-2026</t>
  </si>
  <si>
    <t>ORD1099</t>
  </si>
  <si>
    <t>Customer 099</t>
  </si>
  <si>
    <t>04-05-2026</t>
  </si>
  <si>
    <t>ORD1100</t>
  </si>
  <si>
    <t>Customer 100</t>
  </si>
  <si>
    <t>ORD1101</t>
  </si>
  <si>
    <t>Customer 101</t>
  </si>
  <si>
    <t>22-05-2026</t>
  </si>
  <si>
    <t>ORD1102</t>
  </si>
  <si>
    <t>Customer 102</t>
  </si>
  <si>
    <t>14-03-2026</t>
  </si>
  <si>
    <t>ORD1103</t>
  </si>
  <si>
    <t>Customer 103</t>
  </si>
  <si>
    <t>ORD1104</t>
  </si>
  <si>
    <t>Customer 104</t>
  </si>
  <si>
    <t>19-03-2026</t>
  </si>
  <si>
    <t>ORD1105</t>
  </si>
  <si>
    <t>Customer 105</t>
  </si>
  <si>
    <t>27-02-2026</t>
  </si>
  <si>
    <t>ORD1106</t>
  </si>
  <si>
    <t>Customer 106</t>
  </si>
  <si>
    <t>26-05-2026</t>
  </si>
  <si>
    <t>ORD1107</t>
  </si>
  <si>
    <t>Customer 107</t>
  </si>
  <si>
    <t>ORD1108</t>
  </si>
  <si>
    <t>Customer 108</t>
  </si>
  <si>
    <t>01-01-2026</t>
  </si>
  <si>
    <t>ORD1109</t>
  </si>
  <si>
    <t>Customer 109</t>
  </si>
  <si>
    <t>ORD1110</t>
  </si>
  <si>
    <t>Customer 110</t>
  </si>
  <si>
    <t>25-08-2026</t>
  </si>
  <si>
    <t>ORD1111</t>
  </si>
  <si>
    <t>Customer 111</t>
  </si>
  <si>
    <t>ORD1112</t>
  </si>
  <si>
    <t>Customer 112</t>
  </si>
  <si>
    <t>22-07-2026</t>
  </si>
  <si>
    <t>ORD1113</t>
  </si>
  <si>
    <t>Customer 113</t>
  </si>
  <si>
    <t>ORD1114</t>
  </si>
  <si>
    <t>Customer 114</t>
  </si>
  <si>
    <t>11-01-2026</t>
  </si>
  <si>
    <t>ORD1115</t>
  </si>
  <si>
    <t>Customer 115</t>
  </si>
  <si>
    <t>22-06-2026</t>
  </si>
  <si>
    <t>ORD1116</t>
  </si>
  <si>
    <t>Customer 116</t>
  </si>
  <si>
    <t>01-05-2026</t>
  </si>
  <si>
    <t>ORD1117</t>
  </si>
  <si>
    <t>Customer 117</t>
  </si>
  <si>
    <t>28-07-2026</t>
  </si>
  <si>
    <t>ORD1118</t>
  </si>
  <si>
    <t>Customer 118</t>
  </si>
  <si>
    <t>ORD1119</t>
  </si>
  <si>
    <t>Customer 119</t>
  </si>
  <si>
    <t>ORD1120</t>
  </si>
  <si>
    <t>Customer 120</t>
  </si>
  <si>
    <t>ORD1121</t>
  </si>
  <si>
    <t>Customer 121</t>
  </si>
  <si>
    <t>13-05-2026</t>
  </si>
  <si>
    <t>ORD1122</t>
  </si>
  <si>
    <t>Customer 122</t>
  </si>
  <si>
    <t>ORD1123</t>
  </si>
  <si>
    <t>Customer 123</t>
  </si>
  <si>
    <t>05-06-2026</t>
  </si>
  <si>
    <t>ORD1124</t>
  </si>
  <si>
    <t>Customer 124</t>
  </si>
  <si>
    <t>ORD1125</t>
  </si>
  <si>
    <t>Customer 125</t>
  </si>
  <si>
    <t>11-05-2026</t>
  </si>
  <si>
    <t>ORD1126</t>
  </si>
  <si>
    <t>Customer 126</t>
  </si>
  <si>
    <t>ORD1127</t>
  </si>
  <si>
    <t>Customer 127</t>
  </si>
  <si>
    <t>ORD1128</t>
  </si>
  <si>
    <t>Customer 128</t>
  </si>
  <si>
    <t>ORD1129</t>
  </si>
  <si>
    <t>Customer 129</t>
  </si>
  <si>
    <t>07-04-2026</t>
  </si>
  <si>
    <t>ORD1130</t>
  </si>
  <si>
    <t>Customer 130</t>
  </si>
  <si>
    <t>08-08-2026</t>
  </si>
  <si>
    <t>ORD1131</t>
  </si>
  <si>
    <t>Customer 131</t>
  </si>
  <si>
    <t>ORD1132</t>
  </si>
  <si>
    <t>Customer 132</t>
  </si>
  <si>
    <t>11-08-2026</t>
  </si>
  <si>
    <t>ORD1133</t>
  </si>
  <si>
    <t>Customer 133</t>
  </si>
  <si>
    <t>ORD1134</t>
  </si>
  <si>
    <t>Customer 134</t>
  </si>
  <si>
    <t>12-04-2026</t>
  </si>
  <si>
    <t>ORD1135</t>
  </si>
  <si>
    <t>Customer 135</t>
  </si>
  <si>
    <t>16-08-2026</t>
  </si>
  <si>
    <t>ORD1136</t>
  </si>
  <si>
    <t>Customer 136</t>
  </si>
  <si>
    <t>24-08-2026</t>
  </si>
  <si>
    <t>ORD1137</t>
  </si>
  <si>
    <t>Customer 137</t>
  </si>
  <si>
    <t>12-08-2026</t>
  </si>
  <si>
    <t>ORD1138</t>
  </si>
  <si>
    <t>Customer 138</t>
  </si>
  <si>
    <t>23-07-2026</t>
  </si>
  <si>
    <t>ORD1139</t>
  </si>
  <si>
    <t>Customer 139</t>
  </si>
  <si>
    <t>16-04-2026</t>
  </si>
  <si>
    <t>ORD1140</t>
  </si>
  <si>
    <t>Customer 140</t>
  </si>
  <si>
    <t>ORD1141</t>
  </si>
  <si>
    <t>Customer 141</t>
  </si>
  <si>
    <t>ORD1142</t>
  </si>
  <si>
    <t>Customer 142</t>
  </si>
  <si>
    <t>ORD1143</t>
  </si>
  <si>
    <t>Customer 143</t>
  </si>
  <si>
    <t>27-04-2026</t>
  </si>
  <si>
    <t>ORD1144</t>
  </si>
  <si>
    <t>Customer 144</t>
  </si>
  <si>
    <t>27-05-2026</t>
  </si>
  <si>
    <t>ORD1145</t>
  </si>
  <si>
    <t>Customer 145</t>
  </si>
  <si>
    <t>12-03-2026</t>
  </si>
  <si>
    <t>ORD1146</t>
  </si>
  <si>
    <t>Customer 146</t>
  </si>
  <si>
    <t>02-08-2026</t>
  </si>
  <si>
    <t>ORD1147</t>
  </si>
  <si>
    <t>Customer 147</t>
  </si>
  <si>
    <t>ORD1148</t>
  </si>
  <si>
    <t>Customer 148</t>
  </si>
  <si>
    <t>ORD1149</t>
  </si>
  <si>
    <t>Customer 149</t>
  </si>
  <si>
    <t>ORD1150</t>
  </si>
  <si>
    <t>Customer 150</t>
  </si>
  <si>
    <t>09-05-2026</t>
  </si>
  <si>
    <t>ORD1151</t>
  </si>
  <si>
    <t>Customer 151</t>
  </si>
  <si>
    <t>ORD1152</t>
  </si>
  <si>
    <t>Customer 152</t>
  </si>
  <si>
    <t>24-01-2026</t>
  </si>
  <si>
    <t>ORD1153</t>
  </si>
  <si>
    <t>Customer 153</t>
  </si>
  <si>
    <t>11-07-2026</t>
  </si>
  <si>
    <t>ORD1154</t>
  </si>
  <si>
    <t>Customer 154</t>
  </si>
  <si>
    <t>ORD1155</t>
  </si>
  <si>
    <t>Customer 155</t>
  </si>
  <si>
    <t>21-08-2026</t>
  </si>
  <si>
    <t>ORD1156</t>
  </si>
  <si>
    <t>Customer 156</t>
  </si>
  <si>
    <t>ORD1157</t>
  </si>
  <si>
    <t>Customer 157</t>
  </si>
  <si>
    <t>21-06-2026</t>
  </si>
  <si>
    <t>ORD1158</t>
  </si>
  <si>
    <t>Customer 158</t>
  </si>
  <si>
    <t>ORD1159</t>
  </si>
  <si>
    <t>Customer 159</t>
  </si>
  <si>
    <t>24-04-2026</t>
  </si>
  <si>
    <t>ORD1160</t>
  </si>
  <si>
    <t>Customer 160</t>
  </si>
  <si>
    <t>16-01-2026</t>
  </si>
  <si>
    <t>ORD1161</t>
  </si>
  <si>
    <t>Customer 161</t>
  </si>
  <si>
    <t>14-06-2026</t>
  </si>
  <si>
    <t>ORD1162</t>
  </si>
  <si>
    <t>Customer 162</t>
  </si>
  <si>
    <t>22-02-2026</t>
  </si>
  <si>
    <t>ORD1163</t>
  </si>
  <si>
    <t>Customer 163</t>
  </si>
  <si>
    <t>21-07-2026</t>
  </si>
  <si>
    <t>ORD1164</t>
  </si>
  <si>
    <t>Customer 164</t>
  </si>
  <si>
    <t>ORD1165</t>
  </si>
  <si>
    <t>Customer 165</t>
  </si>
  <si>
    <t>ORD1166</t>
  </si>
  <si>
    <t>Customer 166</t>
  </si>
  <si>
    <t>09-07-2026</t>
  </si>
  <si>
    <t>ORD1167</t>
  </si>
  <si>
    <t>Customer 167</t>
  </si>
  <si>
    <t>12-05-2026</t>
  </si>
  <si>
    <t>ORD1168</t>
  </si>
  <si>
    <t>Customer 168</t>
  </si>
  <si>
    <t>20-07-2026</t>
  </si>
  <si>
    <t>ORD1169</t>
  </si>
  <si>
    <t>Customer 169</t>
  </si>
  <si>
    <t>20-04-2026</t>
  </si>
  <si>
    <t>ORD1170</t>
  </si>
  <si>
    <t>Customer 170</t>
  </si>
  <si>
    <t>ORD1171</t>
  </si>
  <si>
    <t>Customer 171</t>
  </si>
  <si>
    <t>ORD1172</t>
  </si>
  <si>
    <t>Customer 172</t>
  </si>
  <si>
    <t>13-08-2026</t>
  </si>
  <si>
    <t>ORD1173</t>
  </si>
  <si>
    <t>Customer 173</t>
  </si>
  <si>
    <t>31-07-2026</t>
  </si>
  <si>
    <t>ORD1174</t>
  </si>
  <si>
    <t>Customer 174</t>
  </si>
  <si>
    <t>ORD1175</t>
  </si>
  <si>
    <t>Customer 175</t>
  </si>
  <si>
    <t>ORD1176</t>
  </si>
  <si>
    <t>Customer 176</t>
  </si>
  <si>
    <t>ORD1177</t>
  </si>
  <si>
    <t>Customer 177</t>
  </si>
  <si>
    <t>ORD1178</t>
  </si>
  <si>
    <t>Customer 178</t>
  </si>
  <si>
    <t>10-05-2026</t>
  </si>
  <si>
    <t>ORD1179</t>
  </si>
  <si>
    <t>Customer 179</t>
  </si>
  <si>
    <t>05-04-2026</t>
  </si>
  <si>
    <t>ORD1180</t>
  </si>
  <si>
    <t>Customer 180</t>
  </si>
  <si>
    <t>ORD1181</t>
  </si>
  <si>
    <t>Customer 181</t>
  </si>
  <si>
    <t>29-06-2026</t>
  </si>
  <si>
    <t>ORD1182</t>
  </si>
  <si>
    <t>Customer 182</t>
  </si>
  <si>
    <t>13-04-2026</t>
  </si>
  <si>
    <t>ORD1183</t>
  </si>
  <si>
    <t>Customer 183</t>
  </si>
  <si>
    <t>ORD1184</t>
  </si>
  <si>
    <t>Customer 184</t>
  </si>
  <si>
    <t>ORD1185</t>
  </si>
  <si>
    <t>Customer 185</t>
  </si>
  <si>
    <t>ORD1186</t>
  </si>
  <si>
    <t>Customer 186</t>
  </si>
  <si>
    <t>17-04-2026</t>
  </si>
  <si>
    <t>ORD1187</t>
  </si>
  <si>
    <t>Customer 187</t>
  </si>
  <si>
    <t>23-06-2026</t>
  </si>
  <si>
    <t>ORD1188</t>
  </si>
  <si>
    <t>Customer 188</t>
  </si>
  <si>
    <t>03-06-2026</t>
  </si>
  <si>
    <t>ORD1189</t>
  </si>
  <si>
    <t>Customer 189</t>
  </si>
  <si>
    <t>ORD1190</t>
  </si>
  <si>
    <t>Customer 190</t>
  </si>
  <si>
    <t>17-05-2026</t>
  </si>
  <si>
    <t>ORD1191</t>
  </si>
  <si>
    <t>Customer 191</t>
  </si>
  <si>
    <t>ORD1192</t>
  </si>
  <si>
    <t>Customer 192</t>
  </si>
  <si>
    <t>ORD1193</t>
  </si>
  <si>
    <t>Customer 193</t>
  </si>
  <si>
    <t>ORD1194</t>
  </si>
  <si>
    <t>Customer 194</t>
  </si>
  <si>
    <t>ORD1195</t>
  </si>
  <si>
    <t>Customer 195</t>
  </si>
  <si>
    <t>ORD1196</t>
  </si>
  <si>
    <t>Customer 196</t>
  </si>
  <si>
    <t>ORD1197</t>
  </si>
  <si>
    <t>Customer 197</t>
  </si>
  <si>
    <t>ORD1198</t>
  </si>
  <si>
    <t>Customer 198</t>
  </si>
  <si>
    <t>29-04-2026</t>
  </si>
  <si>
    <t>ORD1199</t>
  </si>
  <si>
    <t>Customer 199</t>
  </si>
  <si>
    <t>ORD1200</t>
  </si>
  <si>
    <t>Customer 200</t>
  </si>
  <si>
    <t>Sum of Profit</t>
  </si>
  <si>
    <t>Count of Quantity</t>
  </si>
  <si>
    <t>Sum of Discount %</t>
  </si>
  <si>
    <t>Average of Discount %</t>
  </si>
  <si>
    <t>Sum of Sales Amount</t>
  </si>
  <si>
    <t>Sum of Cost</t>
  </si>
  <si>
    <t>Row Labels</t>
  </si>
  <si>
    <t>Grand Total</t>
  </si>
  <si>
    <t>Count of Sales Channel</t>
  </si>
  <si>
    <t>Table1[Sr. No.]</t>
  </si>
  <si>
    <t>Table1[Date]</t>
  </si>
  <si>
    <t>Table1[Order ID]</t>
  </si>
  <si>
    <t>Table1[Customer Name]</t>
  </si>
  <si>
    <t>Table1[Salesperson]</t>
  </si>
  <si>
    <t>Table1[State]</t>
  </si>
  <si>
    <t>Table1[City]</t>
  </si>
  <si>
    <t>Table1[Region]</t>
  </si>
  <si>
    <t>Table1[Product]</t>
  </si>
  <si>
    <t>Table1[Category]</t>
  </si>
  <si>
    <t>Table1[Quantity]</t>
  </si>
  <si>
    <t>Table1[Unit Price]</t>
  </si>
  <si>
    <t>Table1[Discount %]</t>
  </si>
  <si>
    <t>Table1[Sales Amount]</t>
  </si>
  <si>
    <t>Table1[Cost]</t>
  </si>
  <si>
    <t>Table1[Profit]</t>
  </si>
  <si>
    <t>Table1[Payment Mode]</t>
  </si>
  <si>
    <t>Table1[Customer Type]</t>
  </si>
  <si>
    <t>Table1[Sales Channel]</t>
  </si>
  <si>
    <t>Data returned for Sum of Cost, Desk,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</si>
</sst>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quot;M&quot;"/>
  </numFmts>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1" fontId="0" fillId="0" borderId="0" xfId="0" applyNumberFormat="1"/>
    <xf numFmtId="164" fontId="0" fillId="0" borderId="0" xfId="0" applyNumberFormat="1"/>
    <xf numFmtId="0" fontId="1" fillId="0" borderId="2" xfId="0"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0" fontId="0" fillId="0" borderId="0" xfId="0" applyNumberFormat="1"/>
  </cellXfs>
  <cellStyles count="1">
    <cellStyle name="Normal" xfId="0" builtinId="0"/>
  </cellStyles>
  <dxfs count="27">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4" formatCode="\₹#,##0.00"/>
    </dxf>
    <dxf>
      <numFmt numFmtId="164" formatCode="\₹#,##0.00"/>
    </dxf>
    <dxf>
      <numFmt numFmtId="164" formatCode="\₹#,##0.00"/>
    </dxf>
    <dxf>
      <numFmt numFmtId="1" formatCode="0"/>
    </dxf>
    <dxf>
      <numFmt numFmtId="164" formatCode="\₹#,##0.00"/>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336699"/>
      <color rgb="FFEA84AB"/>
      <color rgb="FF58084D"/>
      <color rgb="FFFFFFFF"/>
      <color rgb="FFBE0CB1"/>
      <color rgb="FF2F7597"/>
      <color rgb="FFF3F6F9"/>
      <color rgb="FF17365D"/>
      <color rgb="FF29292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[Sales_Dashboard_200_Rows.xlsx]KPI Summary!PivotTable7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Summary'!$B$49</c:f>
              <c:strCache>
                <c:ptCount val="1"/>
                <c:pt idx="0">
                  <c:v>Sum of Cost</c:v>
                </c:pt>
              </c:strCache>
            </c:strRef>
          </c:tx>
          <c:spPr>
            <a:solidFill>
              <a:schemeClr val="accent1"/>
            </a:solidFill>
            <a:ln>
              <a:noFill/>
            </a:ln>
            <a:effectLst/>
          </c:spPr>
          <c:invertIfNegative val="0"/>
          <c:cat>
            <c:strRef>
              <c:f>'KPI Summary'!$A$50:$A$62</c:f>
              <c:strCache>
                <c:ptCount val="12"/>
                <c:pt idx="0">
                  <c:v>Bookshelf</c:v>
                </c:pt>
                <c:pt idx="1">
                  <c:v>Desk</c:v>
                </c:pt>
                <c:pt idx="2">
                  <c:v>Headphones</c:v>
                </c:pt>
                <c:pt idx="3">
                  <c:v>Keyboard</c:v>
                </c:pt>
                <c:pt idx="4">
                  <c:v>Laptop</c:v>
                </c:pt>
                <c:pt idx="5">
                  <c:v>Mobile</c:v>
                </c:pt>
                <c:pt idx="6">
                  <c:v>Monitor</c:v>
                </c:pt>
                <c:pt idx="7">
                  <c:v>Mouse</c:v>
                </c:pt>
                <c:pt idx="8">
                  <c:v>Office Chair</c:v>
                </c:pt>
                <c:pt idx="9">
                  <c:v>Printer</c:v>
                </c:pt>
                <c:pt idx="10">
                  <c:v>Tablet</c:v>
                </c:pt>
                <c:pt idx="11">
                  <c:v>Webcam</c:v>
                </c:pt>
              </c:strCache>
            </c:strRef>
          </c:cat>
          <c:val>
            <c:numRef>
              <c:f>'KPI Summary'!$B$50:$B$62</c:f>
              <c:numCache>
                <c:formatCode>General</c:formatCode>
                <c:ptCount val="12"/>
                <c:pt idx="0">
                  <c:v>180000</c:v>
                </c:pt>
                <c:pt idx="1">
                  <c:v>176000</c:v>
                </c:pt>
                <c:pt idx="2">
                  <c:v>41800</c:v>
                </c:pt>
                <c:pt idx="3">
                  <c:v>32200</c:v>
                </c:pt>
                <c:pt idx="4">
                  <c:v>1330000</c:v>
                </c:pt>
                <c:pt idx="5">
                  <c:v>325500</c:v>
                </c:pt>
                <c:pt idx="6">
                  <c:v>85500</c:v>
                </c:pt>
                <c:pt idx="7">
                  <c:v>24050</c:v>
                </c:pt>
                <c:pt idx="8">
                  <c:v>134400</c:v>
                </c:pt>
                <c:pt idx="9">
                  <c:v>450000</c:v>
                </c:pt>
                <c:pt idx="10">
                  <c:v>420000</c:v>
                </c:pt>
                <c:pt idx="11">
                  <c:v>78000</c:v>
                </c:pt>
              </c:numCache>
            </c:numRef>
          </c:val>
          <c:extLst>
            <c:ext xmlns:c16="http://schemas.microsoft.com/office/drawing/2014/chart" uri="{C3380CC4-5D6E-409C-BE32-E72D297353CC}">
              <c16:uniqueId val="{00000000-5863-4B08-862D-F93536D9BBF4}"/>
            </c:ext>
          </c:extLst>
        </c:ser>
        <c:ser>
          <c:idx val="1"/>
          <c:order val="1"/>
          <c:tx>
            <c:strRef>
              <c:f>'KPI Summary'!$C$49</c:f>
              <c:strCache>
                <c:ptCount val="1"/>
                <c:pt idx="0">
                  <c:v>Sum of Discount %</c:v>
                </c:pt>
              </c:strCache>
            </c:strRef>
          </c:tx>
          <c:spPr>
            <a:solidFill>
              <a:schemeClr val="accent2"/>
            </a:solidFill>
            <a:ln>
              <a:noFill/>
            </a:ln>
            <a:effectLst/>
          </c:spPr>
          <c:invertIfNegative val="0"/>
          <c:cat>
            <c:strRef>
              <c:f>'KPI Summary'!$A$50:$A$62</c:f>
              <c:strCache>
                <c:ptCount val="12"/>
                <c:pt idx="0">
                  <c:v>Bookshelf</c:v>
                </c:pt>
                <c:pt idx="1">
                  <c:v>Desk</c:v>
                </c:pt>
                <c:pt idx="2">
                  <c:v>Headphones</c:v>
                </c:pt>
                <c:pt idx="3">
                  <c:v>Keyboard</c:v>
                </c:pt>
                <c:pt idx="4">
                  <c:v>Laptop</c:v>
                </c:pt>
                <c:pt idx="5">
                  <c:v>Mobile</c:v>
                </c:pt>
                <c:pt idx="6">
                  <c:v>Monitor</c:v>
                </c:pt>
                <c:pt idx="7">
                  <c:v>Mouse</c:v>
                </c:pt>
                <c:pt idx="8">
                  <c:v>Office Chair</c:v>
                </c:pt>
                <c:pt idx="9">
                  <c:v>Printer</c:v>
                </c:pt>
                <c:pt idx="10">
                  <c:v>Tablet</c:v>
                </c:pt>
                <c:pt idx="11">
                  <c:v>Webcam</c:v>
                </c:pt>
              </c:strCache>
            </c:strRef>
          </c:cat>
          <c:val>
            <c:numRef>
              <c:f>'KPI Summary'!$C$50:$C$62</c:f>
              <c:numCache>
                <c:formatCode>General</c:formatCode>
                <c:ptCount val="12"/>
                <c:pt idx="0">
                  <c:v>10</c:v>
                </c:pt>
                <c:pt idx="1">
                  <c:v>40</c:v>
                </c:pt>
                <c:pt idx="2">
                  <c:v>25</c:v>
                </c:pt>
                <c:pt idx="3">
                  <c:v>35</c:v>
                </c:pt>
                <c:pt idx="4">
                  <c:v>40</c:v>
                </c:pt>
                <c:pt idx="5">
                  <c:v>35</c:v>
                </c:pt>
                <c:pt idx="6">
                  <c:v>10</c:v>
                </c:pt>
                <c:pt idx="7">
                  <c:v>20</c:v>
                </c:pt>
                <c:pt idx="8">
                  <c:v>20</c:v>
                </c:pt>
                <c:pt idx="9">
                  <c:v>60</c:v>
                </c:pt>
                <c:pt idx="10">
                  <c:v>15</c:v>
                </c:pt>
                <c:pt idx="11">
                  <c:v>35</c:v>
                </c:pt>
              </c:numCache>
            </c:numRef>
          </c:val>
          <c:extLst>
            <c:ext xmlns:c16="http://schemas.microsoft.com/office/drawing/2014/chart" uri="{C3380CC4-5D6E-409C-BE32-E72D297353CC}">
              <c16:uniqueId val="{00000001-5863-4B08-862D-F93536D9BBF4}"/>
            </c:ext>
          </c:extLst>
        </c:ser>
        <c:dLbls>
          <c:showLegendKey val="0"/>
          <c:showVal val="0"/>
          <c:showCatName val="0"/>
          <c:showSerName val="0"/>
          <c:showPercent val="0"/>
          <c:showBubbleSize val="0"/>
        </c:dLbls>
        <c:gapWidth val="150"/>
        <c:axId val="1831288607"/>
        <c:axId val="1831279039"/>
      </c:barChart>
      <c:catAx>
        <c:axId val="183128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79039"/>
        <c:crosses val="autoZero"/>
        <c:auto val="1"/>
        <c:lblAlgn val="ctr"/>
        <c:lblOffset val="100"/>
        <c:noMultiLvlLbl val="0"/>
      </c:catAx>
      <c:valAx>
        <c:axId val="1831279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8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[Sales_Dashboard_200_Rows.xlsx]KPI Summary!PivotTable8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Summary'!$B$68</c:f>
              <c:strCache>
                <c:ptCount val="1"/>
                <c:pt idx="0">
                  <c:v>Total</c:v>
                </c:pt>
              </c:strCache>
            </c:strRef>
          </c:tx>
          <c:spPr>
            <a:ln w="28575" cap="rnd">
              <a:solidFill>
                <a:schemeClr val="accent1"/>
              </a:solidFill>
              <a:round/>
            </a:ln>
            <a:effectLst/>
          </c:spPr>
          <c:marker>
            <c:symbol val="none"/>
          </c:marker>
          <c:cat>
            <c:strRef>
              <c:f>'KPI Summary'!$A$69:$A$81</c:f>
              <c:strCache>
                <c:ptCount val="12"/>
                <c:pt idx="0">
                  <c:v>Bookshelf</c:v>
                </c:pt>
                <c:pt idx="1">
                  <c:v>Desk</c:v>
                </c:pt>
                <c:pt idx="2">
                  <c:v>Headphones</c:v>
                </c:pt>
                <c:pt idx="3">
                  <c:v>Keyboard</c:v>
                </c:pt>
                <c:pt idx="4">
                  <c:v>Laptop</c:v>
                </c:pt>
                <c:pt idx="5">
                  <c:v>Mobile</c:v>
                </c:pt>
                <c:pt idx="6">
                  <c:v>Monitor</c:v>
                </c:pt>
                <c:pt idx="7">
                  <c:v>Mouse</c:v>
                </c:pt>
                <c:pt idx="8">
                  <c:v>Office Chair</c:v>
                </c:pt>
                <c:pt idx="9">
                  <c:v>Printer</c:v>
                </c:pt>
                <c:pt idx="10">
                  <c:v>Tablet</c:v>
                </c:pt>
                <c:pt idx="11">
                  <c:v>Webcam</c:v>
                </c:pt>
              </c:strCache>
            </c:strRef>
          </c:cat>
          <c:val>
            <c:numRef>
              <c:f>'KPI Summary'!$B$69:$B$81</c:f>
              <c:numCache>
                <c:formatCode>General</c:formatCode>
                <c:ptCount val="12"/>
                <c:pt idx="0">
                  <c:v>180000</c:v>
                </c:pt>
                <c:pt idx="1">
                  <c:v>176000</c:v>
                </c:pt>
                <c:pt idx="2">
                  <c:v>41800</c:v>
                </c:pt>
                <c:pt idx="3">
                  <c:v>32200</c:v>
                </c:pt>
                <c:pt idx="4">
                  <c:v>1330000</c:v>
                </c:pt>
                <c:pt idx="5">
                  <c:v>325500</c:v>
                </c:pt>
                <c:pt idx="6">
                  <c:v>85500</c:v>
                </c:pt>
                <c:pt idx="7">
                  <c:v>24050</c:v>
                </c:pt>
                <c:pt idx="8">
                  <c:v>134400</c:v>
                </c:pt>
                <c:pt idx="9">
                  <c:v>450000</c:v>
                </c:pt>
                <c:pt idx="10">
                  <c:v>420000</c:v>
                </c:pt>
                <c:pt idx="11">
                  <c:v>78000</c:v>
                </c:pt>
              </c:numCache>
            </c:numRef>
          </c:val>
          <c:smooth val="0"/>
          <c:extLst>
            <c:ext xmlns:c16="http://schemas.microsoft.com/office/drawing/2014/chart" uri="{C3380CC4-5D6E-409C-BE32-E72D297353CC}">
              <c16:uniqueId val="{00000000-B251-4A16-9D2A-4A7DA7ED3A2E}"/>
            </c:ext>
          </c:extLst>
        </c:ser>
        <c:dLbls>
          <c:showLegendKey val="0"/>
          <c:showVal val="0"/>
          <c:showCatName val="0"/>
          <c:showSerName val="0"/>
          <c:showPercent val="0"/>
          <c:showBubbleSize val="0"/>
        </c:dLbls>
        <c:smooth val="0"/>
        <c:axId val="1831265311"/>
        <c:axId val="1831279455"/>
      </c:lineChart>
      <c:catAx>
        <c:axId val="1831265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79455"/>
        <c:crosses val="autoZero"/>
        <c:auto val="1"/>
        <c:lblAlgn val="ctr"/>
        <c:lblOffset val="100"/>
        <c:noMultiLvlLbl val="0"/>
      </c:catAx>
      <c:valAx>
        <c:axId val="183127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6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[Sales_Dashboard_200_Rows.xlsx]KPI Summary!PivotTable9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'KPI Summary'!$B$87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06-4FF7-9FEB-A33ED946AB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06-4FF7-9FEB-A33ED946AB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06-4FF7-9FEB-A33ED946AB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06-4FF7-9FEB-A33ED946AB7E}"/>
              </c:ext>
            </c:extLst>
          </c:dPt>
          <c:cat>
            <c:multiLvlStrRef>
              <c:f>'KPI Summary'!$A$88:$A$96</c:f>
              <c:multiLvlStrCache>
                <c:ptCount val="4"/>
                <c:lvl>
                  <c:pt idx="0">
                    <c:v>Accessories</c:v>
                  </c:pt>
                  <c:pt idx="1">
                    <c:v>Accessories</c:v>
                  </c:pt>
                  <c:pt idx="2">
                    <c:v>Accessories</c:v>
                  </c:pt>
                  <c:pt idx="3">
                    <c:v>Accessories</c:v>
                  </c:pt>
                </c:lvl>
                <c:lvl>
                  <c:pt idx="0">
                    <c:v>Headphones</c:v>
                  </c:pt>
                  <c:pt idx="1">
                    <c:v>Keyboard</c:v>
                  </c:pt>
                  <c:pt idx="2">
                    <c:v>Mouse</c:v>
                  </c:pt>
                  <c:pt idx="3">
                    <c:v>Webcam</c:v>
                  </c:pt>
                </c:lvl>
              </c:multiLvlStrCache>
            </c:multiLvlStrRef>
          </c:cat>
          <c:val>
            <c:numRef>
              <c:f>'KPI Summary'!$B$88:$B$96</c:f>
              <c:numCache>
                <c:formatCode>General</c:formatCode>
                <c:ptCount val="4"/>
                <c:pt idx="0">
                  <c:v>25</c:v>
                </c:pt>
                <c:pt idx="1">
                  <c:v>35</c:v>
                </c:pt>
                <c:pt idx="2">
                  <c:v>20</c:v>
                </c:pt>
                <c:pt idx="3">
                  <c:v>35</c:v>
                </c:pt>
              </c:numCache>
            </c:numRef>
          </c:val>
          <c:extLst>
            <c:ext xmlns:c16="http://schemas.microsoft.com/office/drawing/2014/chart" uri="{C3380CC4-5D6E-409C-BE32-E72D297353CC}">
              <c16:uniqueId val="{00000000-FA15-42A9-B609-D16F3611B70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[Sales_Dashboard_200_Rows.xlsx]KPI Summary!PivotTable10</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alpha val="50196"/>
            </a:schemeClr>
          </a:solidFill>
          <a:ln w="25400">
            <a:solidFill>
              <a:schemeClr val="accent1"/>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'KPI Summary'!$B$104</c:f>
              <c:strCache>
                <c:ptCount val="1"/>
                <c:pt idx="0">
                  <c:v>Total</c:v>
                </c:pt>
              </c:strCache>
            </c:strRef>
          </c:tx>
          <c:spPr>
            <a:solidFill>
              <a:schemeClr val="accent1">
                <a:alpha val="50196"/>
              </a:schemeClr>
            </a:solidFill>
            <a:ln w="25400">
              <a:solidFill>
                <a:schemeClr val="accent1"/>
              </a:solidFill>
              <a:prstDash val="sysDot"/>
            </a:ln>
            <a:effectLst/>
          </c:spPr>
          <c:cat>
            <c:multiLvlStrRef>
              <c:f>'KPI Summary'!$A$105:$A$111</c:f>
              <c:multiLvlStrCache>
                <c:ptCount val="3"/>
                <c:lvl>
                  <c:pt idx="0">
                    <c:v>New Delhi</c:v>
                  </c:pt>
                  <c:pt idx="1">
                    <c:v>Jaipur</c:v>
                  </c:pt>
                  <c:pt idx="2">
                    <c:v>Lucknow</c:v>
                  </c:pt>
                </c:lvl>
                <c:lvl>
                  <c:pt idx="0">
                    <c:v>Delhi</c:v>
                  </c:pt>
                  <c:pt idx="1">
                    <c:v>Rajasthan</c:v>
                  </c:pt>
                  <c:pt idx="2">
                    <c:v>Uttar Pradesh</c:v>
                  </c:pt>
                </c:lvl>
              </c:multiLvlStrCache>
            </c:multiLvlStrRef>
          </c:cat>
          <c:val>
            <c:numRef>
              <c:f>'KPI Summary'!$B$105:$B$111</c:f>
              <c:numCache>
                <c:formatCode>General</c:formatCode>
                <c:ptCount val="3"/>
                <c:pt idx="0">
                  <c:v>514580</c:v>
                </c:pt>
                <c:pt idx="1">
                  <c:v>316540</c:v>
                </c:pt>
                <c:pt idx="2">
                  <c:v>341575</c:v>
                </c:pt>
              </c:numCache>
            </c:numRef>
          </c:val>
          <c:extLst>
            <c:ext xmlns:c16="http://schemas.microsoft.com/office/drawing/2014/chart" uri="{C3380CC4-5D6E-409C-BE32-E72D297353CC}">
              <c16:uniqueId val="{00000000-2BB7-4327-A6B4-E73B2DA0AB14}"/>
            </c:ext>
          </c:extLst>
        </c:ser>
        <c:dLbls>
          <c:showLegendKey val="0"/>
          <c:showVal val="0"/>
          <c:showCatName val="0"/>
          <c:showSerName val="0"/>
          <c:showPercent val="0"/>
          <c:showBubbleSize val="0"/>
        </c:dLbls>
        <c:axId val="1831291519"/>
        <c:axId val="1831289855"/>
      </c:areaChart>
      <c:catAx>
        <c:axId val="183129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89855"/>
        <c:crosses val="autoZero"/>
        <c:auto val="1"/>
        <c:lblAlgn val="ctr"/>
        <c:lblOffset val="100"/>
        <c:noMultiLvlLbl val="0"/>
      </c:catAx>
      <c:valAx>
        <c:axId val="183128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915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[Sales_Dashboard_200_Rows.xlsx]KPI Summary!PivotTable6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Summary'!$B$24</c:f>
              <c:strCache>
                <c:ptCount val="1"/>
                <c:pt idx="0">
                  <c:v>Total</c:v>
                </c:pt>
              </c:strCache>
            </c:strRef>
          </c:tx>
          <c:spPr>
            <a:solidFill>
              <a:schemeClr val="accent1"/>
            </a:solidFill>
            <a:ln>
              <a:noFill/>
            </a:ln>
            <a:effectLst/>
          </c:spPr>
          <c:invertIfNegative val="0"/>
          <c:cat>
            <c:multiLvlStrRef>
              <c:f>'KPI Summary'!$A$25:$A$29</c:f>
              <c:multiLvlStrCache>
                <c:ptCount val="3"/>
                <c:lvl>
                  <c:pt idx="0">
                    <c:v>Accessories</c:v>
                  </c:pt>
                  <c:pt idx="1">
                    <c:v>Electronics</c:v>
                  </c:pt>
                  <c:pt idx="2">
                    <c:v>Furniture</c:v>
                  </c:pt>
                </c:lvl>
                <c:lvl>
                  <c:pt idx="0">
                    <c:v>North</c:v>
                  </c:pt>
                </c:lvl>
              </c:multiLvlStrCache>
            </c:multiLvlStrRef>
          </c:cat>
          <c:val>
            <c:numRef>
              <c:f>'KPI Summary'!$B$25:$B$29</c:f>
              <c:numCache>
                <c:formatCode>General</c:formatCode>
                <c:ptCount val="3"/>
                <c:pt idx="0">
                  <c:v>120095</c:v>
                </c:pt>
                <c:pt idx="1">
                  <c:v>844200</c:v>
                </c:pt>
                <c:pt idx="2">
                  <c:v>208400</c:v>
                </c:pt>
              </c:numCache>
            </c:numRef>
          </c:val>
          <c:extLst>
            <c:ext xmlns:c16="http://schemas.microsoft.com/office/drawing/2014/chart" uri="{C3380CC4-5D6E-409C-BE32-E72D297353CC}">
              <c16:uniqueId val="{00000000-324A-4E3F-81AB-8D35953C5AC8}"/>
            </c:ext>
          </c:extLst>
        </c:ser>
        <c:dLbls>
          <c:showLegendKey val="0"/>
          <c:showVal val="0"/>
          <c:showCatName val="0"/>
          <c:showSerName val="0"/>
          <c:showPercent val="0"/>
          <c:showBubbleSize val="0"/>
        </c:dLbls>
        <c:gapWidth val="219"/>
        <c:overlap val="-27"/>
        <c:axId val="672408240"/>
        <c:axId val="672403248"/>
      </c:barChart>
      <c:catAx>
        <c:axId val="67240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403248"/>
        <c:crosses val="autoZero"/>
        <c:auto val="1"/>
        <c:lblAlgn val="ctr"/>
        <c:lblOffset val="100"/>
        <c:noMultiLvlLbl val="0"/>
      </c:catAx>
      <c:valAx>
        <c:axId val="67240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40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[Sales_Dashboard_200_Rows.xlsx]KPI Summary!PivotTable12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 Summary'!$G$144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406-4594-9E14-AD509F975B8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406-4594-9E14-AD509F975B8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406-4594-9E14-AD509F975B8B}"/>
              </c:ext>
            </c:extLst>
          </c:dPt>
          <c:cat>
            <c:strRef>
              <c:f>'KPI Summary'!$F$145:$F$148</c:f>
              <c:strCache>
                <c:ptCount val="3"/>
                <c:pt idx="0">
                  <c:v>Corporate</c:v>
                </c:pt>
                <c:pt idx="1">
                  <c:v>Retail</c:v>
                </c:pt>
                <c:pt idx="2">
                  <c:v>Wholesale</c:v>
                </c:pt>
              </c:strCache>
            </c:strRef>
          </c:cat>
          <c:val>
            <c:numRef>
              <c:f>'KPI Summary'!$G$145:$G$148</c:f>
              <c:numCache>
                <c:formatCode>General</c:formatCode>
                <c:ptCount val="3"/>
                <c:pt idx="0">
                  <c:v>17</c:v>
                </c:pt>
                <c:pt idx="1">
                  <c:v>12</c:v>
                </c:pt>
                <c:pt idx="2">
                  <c:v>18</c:v>
                </c:pt>
              </c:numCache>
            </c:numRef>
          </c:val>
          <c:extLst>
            <c:ext xmlns:c16="http://schemas.microsoft.com/office/drawing/2014/chart" uri="{C3380CC4-5D6E-409C-BE32-E72D297353CC}">
              <c16:uniqueId val="{00000000-4404-427B-B07E-F8FCE27B858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[Sales_Dashboard_200_Rows.xlsx]KPI Summary!PivotTable9</c:name>
    <c:fmtId val="6"/>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hade val="58000"/>
            </a:schemeClr>
          </a:solidFill>
          <a:ln w="19050">
            <a:solidFill>
              <a:schemeClr val="lt1"/>
            </a:solidFill>
          </a:ln>
          <a:effectLst/>
        </c:spPr>
      </c:pivotFmt>
      <c:pivotFmt>
        <c:idx val="12"/>
        <c:spPr>
          <a:solidFill>
            <a:schemeClr val="accent2">
              <a:shade val="86000"/>
            </a:schemeClr>
          </a:solidFill>
          <a:ln w="19050">
            <a:solidFill>
              <a:schemeClr val="lt1"/>
            </a:solidFill>
          </a:ln>
          <a:effectLst/>
        </c:spPr>
      </c:pivotFmt>
      <c:pivotFmt>
        <c:idx val="13"/>
        <c:spPr>
          <a:solidFill>
            <a:schemeClr val="accent2">
              <a:tint val="86000"/>
            </a:schemeClr>
          </a:solidFill>
          <a:ln w="19050">
            <a:solidFill>
              <a:schemeClr val="lt1"/>
            </a:solidFill>
          </a:ln>
          <a:effectLst/>
        </c:spPr>
      </c:pivotFmt>
      <c:pivotFmt>
        <c:idx val="14"/>
        <c:spPr>
          <a:solidFill>
            <a:schemeClr val="accent2">
              <a:tint val="58000"/>
            </a:schemeClr>
          </a:solidFill>
          <a:ln w="19050">
            <a:solidFill>
              <a:schemeClr val="lt1"/>
            </a:solidFill>
          </a:ln>
          <a:effectLst/>
        </c:spPr>
      </c:pivotFmt>
    </c:pivotFmts>
    <c:plotArea>
      <c:layout/>
      <c:doughnutChart>
        <c:varyColors val="1"/>
        <c:ser>
          <c:idx val="0"/>
          <c:order val="0"/>
          <c:tx>
            <c:strRef>
              <c:f>'KPI Summary'!$B$87</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B73C-4C37-B7DB-FF795A559E05}"/>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B73C-4C37-B7DB-FF795A559E05}"/>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B73C-4C37-B7DB-FF795A559E05}"/>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B73C-4C37-B7DB-FF795A559E05}"/>
              </c:ext>
            </c:extLst>
          </c:dPt>
          <c:cat>
            <c:multiLvlStrRef>
              <c:f>'KPI Summary'!$A$88:$A$96</c:f>
              <c:multiLvlStrCache>
                <c:ptCount val="4"/>
                <c:lvl>
                  <c:pt idx="0">
                    <c:v>Accessories</c:v>
                  </c:pt>
                  <c:pt idx="1">
                    <c:v>Accessories</c:v>
                  </c:pt>
                  <c:pt idx="2">
                    <c:v>Accessories</c:v>
                  </c:pt>
                  <c:pt idx="3">
                    <c:v>Accessories</c:v>
                  </c:pt>
                </c:lvl>
                <c:lvl>
                  <c:pt idx="0">
                    <c:v>Headphones</c:v>
                  </c:pt>
                  <c:pt idx="1">
                    <c:v>Keyboard</c:v>
                  </c:pt>
                  <c:pt idx="2">
                    <c:v>Mouse</c:v>
                  </c:pt>
                  <c:pt idx="3">
                    <c:v>Webcam</c:v>
                  </c:pt>
                </c:lvl>
              </c:multiLvlStrCache>
            </c:multiLvlStrRef>
          </c:cat>
          <c:val>
            <c:numRef>
              <c:f>'KPI Summary'!$B$88:$B$96</c:f>
              <c:numCache>
                <c:formatCode>General</c:formatCode>
                <c:ptCount val="4"/>
                <c:pt idx="0">
                  <c:v>25</c:v>
                </c:pt>
                <c:pt idx="1">
                  <c:v>35</c:v>
                </c:pt>
                <c:pt idx="2">
                  <c:v>20</c:v>
                </c:pt>
                <c:pt idx="3">
                  <c:v>35</c:v>
                </c:pt>
              </c:numCache>
            </c:numRef>
          </c:val>
          <c:extLst>
            <c:ext xmlns:c16="http://schemas.microsoft.com/office/drawing/2014/chart" uri="{C3380CC4-5D6E-409C-BE32-E72D297353CC}">
              <c16:uniqueId val="{00000008-B73C-4C37-B7DB-FF795A559E0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34199924688214828"/>
          <c:y val="0.74768714196828934"/>
          <c:w val="0.48016995734205603"/>
          <c:h val="0.194276856401124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[Sales_Dashboard_200_Rows.xlsx]KPI Summary!PivotTable7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Summary'!$B$49</c:f>
              <c:strCache>
                <c:ptCount val="1"/>
                <c:pt idx="0">
                  <c:v>Sum of Cost</c:v>
                </c:pt>
              </c:strCache>
            </c:strRef>
          </c:tx>
          <c:spPr>
            <a:solidFill>
              <a:schemeClr val="accent2"/>
            </a:solidFill>
            <a:ln>
              <a:noFill/>
            </a:ln>
            <a:effectLst/>
          </c:spPr>
          <c:invertIfNegative val="0"/>
          <c:cat>
            <c:strRef>
              <c:f>'KPI Summary'!$A$50:$A$62</c:f>
              <c:strCache>
                <c:ptCount val="12"/>
                <c:pt idx="0">
                  <c:v>Bookshelf</c:v>
                </c:pt>
                <c:pt idx="1">
                  <c:v>Desk</c:v>
                </c:pt>
                <c:pt idx="2">
                  <c:v>Headphones</c:v>
                </c:pt>
                <c:pt idx="3">
                  <c:v>Keyboard</c:v>
                </c:pt>
                <c:pt idx="4">
                  <c:v>Laptop</c:v>
                </c:pt>
                <c:pt idx="5">
                  <c:v>Mobile</c:v>
                </c:pt>
                <c:pt idx="6">
                  <c:v>Monitor</c:v>
                </c:pt>
                <c:pt idx="7">
                  <c:v>Mouse</c:v>
                </c:pt>
                <c:pt idx="8">
                  <c:v>Office Chair</c:v>
                </c:pt>
                <c:pt idx="9">
                  <c:v>Printer</c:v>
                </c:pt>
                <c:pt idx="10">
                  <c:v>Tablet</c:v>
                </c:pt>
                <c:pt idx="11">
                  <c:v>Webcam</c:v>
                </c:pt>
              </c:strCache>
            </c:strRef>
          </c:cat>
          <c:val>
            <c:numRef>
              <c:f>'KPI Summary'!$B$50:$B$62</c:f>
              <c:numCache>
                <c:formatCode>General</c:formatCode>
                <c:ptCount val="12"/>
                <c:pt idx="0">
                  <c:v>180000</c:v>
                </c:pt>
                <c:pt idx="1">
                  <c:v>176000</c:v>
                </c:pt>
                <c:pt idx="2">
                  <c:v>41800</c:v>
                </c:pt>
                <c:pt idx="3">
                  <c:v>32200</c:v>
                </c:pt>
                <c:pt idx="4">
                  <c:v>1330000</c:v>
                </c:pt>
                <c:pt idx="5">
                  <c:v>325500</c:v>
                </c:pt>
                <c:pt idx="6">
                  <c:v>85500</c:v>
                </c:pt>
                <c:pt idx="7">
                  <c:v>24050</c:v>
                </c:pt>
                <c:pt idx="8">
                  <c:v>134400</c:v>
                </c:pt>
                <c:pt idx="9">
                  <c:v>450000</c:v>
                </c:pt>
                <c:pt idx="10">
                  <c:v>420000</c:v>
                </c:pt>
                <c:pt idx="11">
                  <c:v>78000</c:v>
                </c:pt>
              </c:numCache>
            </c:numRef>
          </c:val>
          <c:extLst>
            <c:ext xmlns:c16="http://schemas.microsoft.com/office/drawing/2014/chart" uri="{C3380CC4-5D6E-409C-BE32-E72D297353CC}">
              <c16:uniqueId val="{00000000-1205-4022-AA4D-133DED49CCC2}"/>
            </c:ext>
          </c:extLst>
        </c:ser>
        <c:ser>
          <c:idx val="1"/>
          <c:order val="1"/>
          <c:tx>
            <c:strRef>
              <c:f>'KPI Summary'!$C$49</c:f>
              <c:strCache>
                <c:ptCount val="1"/>
                <c:pt idx="0">
                  <c:v>Sum of Discount %</c:v>
                </c:pt>
              </c:strCache>
            </c:strRef>
          </c:tx>
          <c:spPr>
            <a:solidFill>
              <a:schemeClr val="accent4"/>
            </a:solidFill>
            <a:ln>
              <a:noFill/>
            </a:ln>
            <a:effectLst/>
          </c:spPr>
          <c:invertIfNegative val="0"/>
          <c:cat>
            <c:strRef>
              <c:f>'KPI Summary'!$A$50:$A$62</c:f>
              <c:strCache>
                <c:ptCount val="12"/>
                <c:pt idx="0">
                  <c:v>Bookshelf</c:v>
                </c:pt>
                <c:pt idx="1">
                  <c:v>Desk</c:v>
                </c:pt>
                <c:pt idx="2">
                  <c:v>Headphones</c:v>
                </c:pt>
                <c:pt idx="3">
                  <c:v>Keyboard</c:v>
                </c:pt>
                <c:pt idx="4">
                  <c:v>Laptop</c:v>
                </c:pt>
                <c:pt idx="5">
                  <c:v>Mobile</c:v>
                </c:pt>
                <c:pt idx="6">
                  <c:v>Monitor</c:v>
                </c:pt>
                <c:pt idx="7">
                  <c:v>Mouse</c:v>
                </c:pt>
                <c:pt idx="8">
                  <c:v>Office Chair</c:v>
                </c:pt>
                <c:pt idx="9">
                  <c:v>Printer</c:v>
                </c:pt>
                <c:pt idx="10">
                  <c:v>Tablet</c:v>
                </c:pt>
                <c:pt idx="11">
                  <c:v>Webcam</c:v>
                </c:pt>
              </c:strCache>
            </c:strRef>
          </c:cat>
          <c:val>
            <c:numRef>
              <c:f>'KPI Summary'!$C$50:$C$62</c:f>
              <c:numCache>
                <c:formatCode>General</c:formatCode>
                <c:ptCount val="12"/>
                <c:pt idx="0">
                  <c:v>10</c:v>
                </c:pt>
                <c:pt idx="1">
                  <c:v>40</c:v>
                </c:pt>
                <c:pt idx="2">
                  <c:v>25</c:v>
                </c:pt>
                <c:pt idx="3">
                  <c:v>35</c:v>
                </c:pt>
                <c:pt idx="4">
                  <c:v>40</c:v>
                </c:pt>
                <c:pt idx="5">
                  <c:v>35</c:v>
                </c:pt>
                <c:pt idx="6">
                  <c:v>10</c:v>
                </c:pt>
                <c:pt idx="7">
                  <c:v>20</c:v>
                </c:pt>
                <c:pt idx="8">
                  <c:v>20</c:v>
                </c:pt>
                <c:pt idx="9">
                  <c:v>60</c:v>
                </c:pt>
                <c:pt idx="10">
                  <c:v>15</c:v>
                </c:pt>
                <c:pt idx="11">
                  <c:v>35</c:v>
                </c:pt>
              </c:numCache>
            </c:numRef>
          </c:val>
          <c:extLst>
            <c:ext xmlns:c16="http://schemas.microsoft.com/office/drawing/2014/chart" uri="{C3380CC4-5D6E-409C-BE32-E72D297353CC}">
              <c16:uniqueId val="{00000001-1205-4022-AA4D-133DED49CCC2}"/>
            </c:ext>
          </c:extLst>
        </c:ser>
        <c:dLbls>
          <c:showLegendKey val="0"/>
          <c:showVal val="0"/>
          <c:showCatName val="0"/>
          <c:showSerName val="0"/>
          <c:showPercent val="0"/>
          <c:showBubbleSize val="0"/>
        </c:dLbls>
        <c:gapWidth val="150"/>
        <c:axId val="1831288607"/>
        <c:axId val="1831279039"/>
      </c:barChart>
      <c:catAx>
        <c:axId val="183128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79039"/>
        <c:crosses val="autoZero"/>
        <c:auto val="1"/>
        <c:lblAlgn val="ctr"/>
        <c:lblOffset val="100"/>
        <c:noMultiLvlLbl val="0"/>
      </c:catAx>
      <c:valAx>
        <c:axId val="1831279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8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[Sales_Dashboard_200_Rows.xlsx]KPI Summary!PivotTable10</c:name>
    <c:fmtId val="4"/>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2">
              <a:alpha val="50196"/>
            </a:schemeClr>
          </a:solidFill>
          <a:ln w="25400">
            <a:solidFill>
              <a:schemeClr val="accent2"/>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50196"/>
            </a:schemeClr>
          </a:solidFill>
          <a:ln w="25400">
            <a:solidFill>
              <a:schemeClr val="accent2"/>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50196"/>
            </a:schemeClr>
          </a:solidFill>
          <a:ln w="25400">
            <a:solidFill>
              <a:schemeClr val="accent2"/>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'KPI Summary'!$B$104</c:f>
              <c:strCache>
                <c:ptCount val="1"/>
                <c:pt idx="0">
                  <c:v>Total</c:v>
                </c:pt>
              </c:strCache>
            </c:strRef>
          </c:tx>
          <c:spPr>
            <a:solidFill>
              <a:schemeClr val="accent2">
                <a:alpha val="50196"/>
              </a:schemeClr>
            </a:solidFill>
            <a:ln w="25400">
              <a:solidFill>
                <a:schemeClr val="accent2"/>
              </a:solidFill>
              <a:prstDash val="sysDot"/>
            </a:ln>
            <a:effectLst/>
          </c:spPr>
          <c:cat>
            <c:multiLvlStrRef>
              <c:f>'KPI Summary'!$A$105:$A$111</c:f>
              <c:multiLvlStrCache>
                <c:ptCount val="3"/>
                <c:lvl>
                  <c:pt idx="0">
                    <c:v>New Delhi</c:v>
                  </c:pt>
                  <c:pt idx="1">
                    <c:v>Jaipur</c:v>
                  </c:pt>
                  <c:pt idx="2">
                    <c:v>Lucknow</c:v>
                  </c:pt>
                </c:lvl>
                <c:lvl>
                  <c:pt idx="0">
                    <c:v>Delhi</c:v>
                  </c:pt>
                  <c:pt idx="1">
                    <c:v>Rajasthan</c:v>
                  </c:pt>
                  <c:pt idx="2">
                    <c:v>Uttar Pradesh</c:v>
                  </c:pt>
                </c:lvl>
              </c:multiLvlStrCache>
            </c:multiLvlStrRef>
          </c:cat>
          <c:val>
            <c:numRef>
              <c:f>'KPI Summary'!$B$105:$B$111</c:f>
              <c:numCache>
                <c:formatCode>General</c:formatCode>
                <c:ptCount val="3"/>
                <c:pt idx="0">
                  <c:v>514580</c:v>
                </c:pt>
                <c:pt idx="1">
                  <c:v>316540</c:v>
                </c:pt>
                <c:pt idx="2">
                  <c:v>341575</c:v>
                </c:pt>
              </c:numCache>
            </c:numRef>
          </c:val>
          <c:extLst>
            <c:ext xmlns:c16="http://schemas.microsoft.com/office/drawing/2014/chart" uri="{C3380CC4-5D6E-409C-BE32-E72D297353CC}">
              <c16:uniqueId val="{00000000-BED4-4F0F-8EA0-732AD22B5F28}"/>
            </c:ext>
          </c:extLst>
        </c:ser>
        <c:dLbls>
          <c:showLegendKey val="0"/>
          <c:showVal val="0"/>
          <c:showCatName val="0"/>
          <c:showSerName val="0"/>
          <c:showPercent val="0"/>
          <c:showBubbleSize val="0"/>
        </c:dLbls>
        <c:axId val="1831291519"/>
        <c:axId val="1831289855"/>
      </c:areaChart>
      <c:catAx>
        <c:axId val="183129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89855"/>
        <c:crosses val="autoZero"/>
        <c:auto val="1"/>
        <c:lblAlgn val="ctr"/>
        <c:lblOffset val="100"/>
        <c:noMultiLvlLbl val="0"/>
      </c:catAx>
      <c:valAx>
        <c:axId val="183128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915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[Sales_Dashboard_200_Rows.xlsx]KPI Summary!PivotTable12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hade val="65000"/>
            </a:schemeClr>
          </a:solidFill>
          <a:ln w="2540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pivotFmt>
      <c:pivotFmt>
        <c:idx val="11"/>
        <c:spPr>
          <a:solidFill>
            <a:schemeClr val="accent2">
              <a:tint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 Summary'!$G$144</c:f>
              <c:strCache>
                <c:ptCount val="1"/>
                <c:pt idx="0">
                  <c:v>Total</c:v>
                </c:pt>
              </c:strCache>
            </c:strRef>
          </c:tx>
          <c:dPt>
            <c:idx val="0"/>
            <c:bubble3D val="0"/>
            <c:spPr>
              <a:solidFill>
                <a:schemeClr val="accent2">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F23A-44F1-8C77-85316CE7387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23A-44F1-8C77-85316CE73879}"/>
              </c:ext>
            </c:extLst>
          </c:dPt>
          <c:dPt>
            <c:idx val="2"/>
            <c:bubble3D val="0"/>
            <c:spPr>
              <a:solidFill>
                <a:schemeClr val="accent2">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F23A-44F1-8C77-85316CE738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Summary'!$F$145:$F$148</c:f>
              <c:strCache>
                <c:ptCount val="3"/>
                <c:pt idx="0">
                  <c:v>Corporate</c:v>
                </c:pt>
                <c:pt idx="1">
                  <c:v>Retail</c:v>
                </c:pt>
                <c:pt idx="2">
                  <c:v>Wholesale</c:v>
                </c:pt>
              </c:strCache>
            </c:strRef>
          </c:cat>
          <c:val>
            <c:numRef>
              <c:f>'KPI Summary'!$G$145:$G$148</c:f>
              <c:numCache>
                <c:formatCode>General</c:formatCode>
                <c:ptCount val="3"/>
                <c:pt idx="0">
                  <c:v>17</c:v>
                </c:pt>
                <c:pt idx="1">
                  <c:v>12</c:v>
                </c:pt>
                <c:pt idx="2">
                  <c:v>18</c:v>
                </c:pt>
              </c:numCache>
            </c:numRef>
          </c:val>
          <c:extLst>
            <c:ext xmlns:c16="http://schemas.microsoft.com/office/drawing/2014/chart" uri="{C3380CC4-5D6E-409C-BE32-E72D297353CC}">
              <c16:uniqueId val="{00000006-F23A-44F1-8C77-85316CE73879}"/>
            </c:ext>
          </c:extLst>
        </c:ser>
        <c:dLbls>
          <c:showLegendKey val="0"/>
          <c:showVal val="0"/>
          <c:showCatName val="0"/>
          <c:showSerName val="0"/>
          <c:showPercent val="1"/>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[Sales_Dashboard_200_Rows.xlsx]KPI Summary!PivotTable6</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Summary'!$B$24</c:f>
              <c:strCache>
                <c:ptCount val="1"/>
                <c:pt idx="0">
                  <c:v>Total</c:v>
                </c:pt>
              </c:strCache>
            </c:strRef>
          </c:tx>
          <c:spPr>
            <a:solidFill>
              <a:schemeClr val="accent2"/>
            </a:solidFill>
            <a:ln>
              <a:noFill/>
            </a:ln>
            <a:effectLst/>
          </c:spPr>
          <c:invertIfNegative val="0"/>
          <c:cat>
            <c:multiLvlStrRef>
              <c:f>'KPI Summary'!$A$25:$A$29</c:f>
              <c:multiLvlStrCache>
                <c:ptCount val="3"/>
                <c:lvl>
                  <c:pt idx="0">
                    <c:v>Accessories</c:v>
                  </c:pt>
                  <c:pt idx="1">
                    <c:v>Electronics</c:v>
                  </c:pt>
                  <c:pt idx="2">
                    <c:v>Furniture</c:v>
                  </c:pt>
                </c:lvl>
                <c:lvl>
                  <c:pt idx="0">
                    <c:v>North</c:v>
                  </c:pt>
                </c:lvl>
              </c:multiLvlStrCache>
            </c:multiLvlStrRef>
          </c:cat>
          <c:val>
            <c:numRef>
              <c:f>'KPI Summary'!$B$25:$B$29</c:f>
              <c:numCache>
                <c:formatCode>General</c:formatCode>
                <c:ptCount val="3"/>
                <c:pt idx="0">
                  <c:v>120095</c:v>
                </c:pt>
                <c:pt idx="1">
                  <c:v>844200</c:v>
                </c:pt>
                <c:pt idx="2">
                  <c:v>208400</c:v>
                </c:pt>
              </c:numCache>
            </c:numRef>
          </c:val>
          <c:extLst>
            <c:ext xmlns:c16="http://schemas.microsoft.com/office/drawing/2014/chart" uri="{C3380CC4-5D6E-409C-BE32-E72D297353CC}">
              <c16:uniqueId val="{00000000-4DA0-49DE-A844-EED56CD7B032}"/>
            </c:ext>
          </c:extLst>
        </c:ser>
        <c:dLbls>
          <c:showLegendKey val="0"/>
          <c:showVal val="0"/>
          <c:showCatName val="0"/>
          <c:showSerName val="0"/>
          <c:showPercent val="0"/>
          <c:showBubbleSize val="0"/>
        </c:dLbls>
        <c:gapWidth val="219"/>
        <c:overlap val="-27"/>
        <c:axId val="672408240"/>
        <c:axId val="672403248"/>
      </c:barChart>
      <c:catAx>
        <c:axId val="67240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403248"/>
        <c:crosses val="autoZero"/>
        <c:auto val="1"/>
        <c:lblAlgn val="ctr"/>
        <c:lblOffset val="100"/>
        <c:noMultiLvlLbl val="0"/>
      </c:catAx>
      <c:valAx>
        <c:axId val="67240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40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541018</xdr:colOff>
      <xdr:row>0</xdr:row>
      <xdr:rowOff>89171</xdr:rowOff>
    </xdr:from>
    <xdr:to>
      <xdr:col>4</xdr:col>
      <xdr:colOff>308040</xdr:colOff>
      <xdr:row>8</xdr:row>
      <xdr:rowOff>113490</xdr:rowOff>
    </xdr:to>
    <xdr:sp macro="" textlink="$A$4">
      <xdr:nvSpPr>
        <xdr:cNvPr id="5" name="Rectangle: Rounded Corners 4">
          <a:extLst>
            <a:ext uri="{FF2B5EF4-FFF2-40B4-BE49-F238E27FC236}">
              <a16:creationId xmlns:a16="http://schemas.microsoft.com/office/drawing/2014/main" id="{CA597385-555B-445A-B6FE-BD4B5CBC528F}"/>
            </a:ext>
          </a:extLst>
        </xdr:cNvPr>
        <xdr:cNvSpPr/>
      </xdr:nvSpPr>
      <xdr:spPr>
        <a:xfrm>
          <a:off x="1546209" y="89171"/>
          <a:ext cx="1801725" cy="15158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Calibri"/>
              <a:cs typeface="Calibri"/>
            </a:rPr>
            <a:t>Sum of Profit</a:t>
          </a:r>
        </a:p>
        <a:p>
          <a:pPr algn="ctr"/>
          <a:fld id="{5BEF95A3-5D35-47BC-BAEF-9BB77BBCB570}" type="TxLink">
            <a:rPr lang="en-US" sz="2400" b="0" i="0" u="none" strike="noStrike">
              <a:solidFill>
                <a:srgbClr val="000000"/>
              </a:solidFill>
              <a:latin typeface="Calibri"/>
              <a:cs typeface="Calibri"/>
            </a:rPr>
            <a:pPr algn="ctr"/>
            <a:t>5.36M</a:t>
          </a:fld>
          <a:endParaRPr lang="en-US" sz="2400"/>
        </a:p>
      </xdr:txBody>
    </xdr:sp>
    <xdr:clientData/>
  </xdr:twoCellAnchor>
  <xdr:twoCellAnchor>
    <xdr:from>
      <xdr:col>5</xdr:col>
      <xdr:colOff>15240</xdr:colOff>
      <xdr:row>2</xdr:row>
      <xdr:rowOff>121920</xdr:rowOff>
    </xdr:from>
    <xdr:to>
      <xdr:col>8</xdr:col>
      <xdr:colOff>114300</xdr:colOff>
      <xdr:row>10</xdr:row>
      <xdr:rowOff>38100</xdr:rowOff>
    </xdr:to>
    <xdr:sp macro="" textlink="$A$8">
      <xdr:nvSpPr>
        <xdr:cNvPr id="6" name="Rectangle: Rounded Corners 5">
          <a:extLst>
            <a:ext uri="{FF2B5EF4-FFF2-40B4-BE49-F238E27FC236}">
              <a16:creationId xmlns:a16="http://schemas.microsoft.com/office/drawing/2014/main" id="{62C8FFF4-0E88-4664-9160-51A5834DF712}"/>
            </a:ext>
          </a:extLst>
        </xdr:cNvPr>
        <xdr:cNvSpPr/>
      </xdr:nvSpPr>
      <xdr:spPr>
        <a:xfrm>
          <a:off x="4008120" y="487680"/>
          <a:ext cx="1927860" cy="13792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Calibri"/>
              <a:cs typeface="Calibri"/>
            </a:rPr>
            <a:t>Count</a:t>
          </a:r>
          <a:r>
            <a:rPr lang="en-US" sz="2400" b="0" i="0" u="none" strike="noStrike" baseline="0">
              <a:solidFill>
                <a:srgbClr val="000000"/>
              </a:solidFill>
              <a:latin typeface="Calibri"/>
              <a:cs typeface="Calibri"/>
            </a:rPr>
            <a:t>  </a:t>
          </a:r>
          <a:r>
            <a:rPr lang="en-US" sz="2400" b="0" i="0" u="none" strike="noStrike">
              <a:solidFill>
                <a:srgbClr val="000000"/>
              </a:solidFill>
              <a:latin typeface="Calibri"/>
              <a:cs typeface="Calibri"/>
            </a:rPr>
            <a:t>of Quantity</a:t>
          </a:r>
        </a:p>
        <a:p>
          <a:pPr algn="ctr"/>
          <a:fld id="{F31A1936-57DD-4B19-B984-F59CDE846C8F}" type="TxLink">
            <a:rPr lang="en-US" sz="2400" b="0" i="0" u="none" strike="noStrike">
              <a:solidFill>
                <a:srgbClr val="000000"/>
              </a:solidFill>
              <a:latin typeface="Calibri"/>
              <a:cs typeface="Calibri"/>
            </a:rPr>
            <a:pPr algn="ctr"/>
            <a:t>200</a:t>
          </a:fld>
          <a:endParaRPr lang="en-US" sz="2400"/>
        </a:p>
      </xdr:txBody>
    </xdr:sp>
    <xdr:clientData/>
  </xdr:twoCellAnchor>
  <xdr:twoCellAnchor>
    <xdr:from>
      <xdr:col>1</xdr:col>
      <xdr:colOff>727467</xdr:colOff>
      <xdr:row>9</xdr:row>
      <xdr:rowOff>14268</xdr:rowOff>
    </xdr:from>
    <xdr:to>
      <xdr:col>4</xdr:col>
      <xdr:colOff>421532</xdr:colOff>
      <xdr:row>17</xdr:row>
      <xdr:rowOff>14267</xdr:rowOff>
    </xdr:to>
    <xdr:sp macro="" textlink="$A$12">
      <xdr:nvSpPr>
        <xdr:cNvPr id="7" name="Rectangle: Rounded Corners 6">
          <a:extLst>
            <a:ext uri="{FF2B5EF4-FFF2-40B4-BE49-F238E27FC236}">
              <a16:creationId xmlns:a16="http://schemas.microsoft.com/office/drawing/2014/main" id="{36B7176D-4314-4FD1-A5BF-2787DE45BC2D}"/>
            </a:ext>
          </a:extLst>
        </xdr:cNvPr>
        <xdr:cNvSpPr/>
      </xdr:nvSpPr>
      <xdr:spPr>
        <a:xfrm>
          <a:off x="1732658" y="1692289"/>
          <a:ext cx="1728768" cy="149157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Calibri"/>
              <a:cs typeface="Calibri"/>
            </a:rPr>
            <a:t>Average of Discount</a:t>
          </a:r>
        </a:p>
        <a:p>
          <a:pPr algn="ctr"/>
          <a:fld id="{5811E8C0-EC14-47F6-916D-80761B648E21}" type="TxLink">
            <a:rPr lang="en-US" sz="2400" b="0" i="0" u="none" strike="noStrike">
              <a:solidFill>
                <a:srgbClr val="000000"/>
              </a:solidFill>
              <a:latin typeface="Calibri"/>
              <a:cs typeface="Calibri"/>
            </a:rPr>
            <a:pPr algn="ctr"/>
            <a:t>6.925</a:t>
          </a:fld>
          <a:endParaRPr lang="en-US" sz="2400"/>
        </a:p>
      </xdr:txBody>
    </xdr:sp>
    <xdr:clientData/>
  </xdr:twoCellAnchor>
  <xdr:twoCellAnchor>
    <xdr:from>
      <xdr:col>5</xdr:col>
      <xdr:colOff>461415</xdr:colOff>
      <xdr:row>14</xdr:row>
      <xdr:rowOff>101493</xdr:rowOff>
    </xdr:from>
    <xdr:to>
      <xdr:col>9</xdr:col>
      <xdr:colOff>321174</xdr:colOff>
      <xdr:row>22</xdr:row>
      <xdr:rowOff>109112</xdr:rowOff>
    </xdr:to>
    <xdr:sp macro="" textlink="$A$16">
      <xdr:nvSpPr>
        <xdr:cNvPr id="8" name="Rectangle: Rounded Corners 7">
          <a:extLst>
            <a:ext uri="{FF2B5EF4-FFF2-40B4-BE49-F238E27FC236}">
              <a16:creationId xmlns:a16="http://schemas.microsoft.com/office/drawing/2014/main" id="{F5870CB7-C68D-4E79-8F1C-5379CC3E96A5}"/>
            </a:ext>
          </a:extLst>
        </xdr:cNvPr>
        <xdr:cNvSpPr/>
      </xdr:nvSpPr>
      <xdr:spPr>
        <a:xfrm>
          <a:off x="4052543" y="2711748"/>
          <a:ext cx="2105227" cy="149919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Calibri"/>
              <a:cs typeface="Calibri"/>
            </a:rPr>
            <a:t>Sum of Sales Amount</a:t>
          </a:r>
        </a:p>
        <a:p>
          <a:pPr algn="ctr"/>
          <a:fld id="{C8293583-FEDF-48EB-8917-A2AFBF91C8E2}" type="TxLink">
            <a:rPr lang="en-US" sz="2400" b="0" i="0" u="none" strike="noStrike">
              <a:solidFill>
                <a:srgbClr val="000000"/>
              </a:solidFill>
              <a:latin typeface="Calibri"/>
              <a:cs typeface="Calibri"/>
            </a:rPr>
            <a:pPr algn="ctr"/>
            <a:t>19.98M</a:t>
          </a:fld>
          <a:endParaRPr lang="en-US" sz="2400"/>
        </a:p>
      </xdr:txBody>
    </xdr:sp>
    <xdr:clientData/>
  </xdr:twoCellAnchor>
  <xdr:twoCellAnchor>
    <xdr:from>
      <xdr:col>2</xdr:col>
      <xdr:colOff>251135</xdr:colOff>
      <xdr:row>18</xdr:row>
      <xdr:rowOff>7944</xdr:rowOff>
    </xdr:from>
    <xdr:to>
      <xdr:col>4</xdr:col>
      <xdr:colOff>496273</xdr:colOff>
      <xdr:row>25</xdr:row>
      <xdr:rowOff>56745</xdr:rowOff>
    </xdr:to>
    <xdr:sp macro="" textlink="$A$20">
      <xdr:nvSpPr>
        <xdr:cNvPr id="9" name="Rectangle: Rounded Corners 8">
          <a:extLst>
            <a:ext uri="{FF2B5EF4-FFF2-40B4-BE49-F238E27FC236}">
              <a16:creationId xmlns:a16="http://schemas.microsoft.com/office/drawing/2014/main" id="{C5BE328F-96A7-40A3-BE55-CEFA530D902F}"/>
            </a:ext>
          </a:extLst>
        </xdr:cNvPr>
        <xdr:cNvSpPr/>
      </xdr:nvSpPr>
      <xdr:spPr>
        <a:xfrm>
          <a:off x="2083178" y="3363987"/>
          <a:ext cx="1452989" cy="135392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Calibri"/>
              <a:cs typeface="Calibri"/>
            </a:rPr>
            <a:t>Sum of cost</a:t>
          </a:r>
        </a:p>
        <a:p>
          <a:pPr algn="ctr"/>
          <a:fld id="{DE351CA2-4891-48E0-9982-A3D8D1D97F27}" type="TxLink">
            <a:rPr lang="en-US" sz="2400" b="0" i="0" u="none" strike="noStrike">
              <a:solidFill>
                <a:srgbClr val="000000"/>
              </a:solidFill>
              <a:latin typeface="Calibri"/>
              <a:cs typeface="Calibri"/>
            </a:rPr>
            <a:pPr algn="ctr"/>
            <a:t>14.63M</a:t>
          </a:fld>
          <a:endParaRPr lang="en-US" sz="2400"/>
        </a:p>
      </xdr:txBody>
    </xdr:sp>
    <xdr:clientData/>
  </xdr:twoCellAnchor>
  <xdr:twoCellAnchor>
    <xdr:from>
      <xdr:col>4</xdr:col>
      <xdr:colOff>550747</xdr:colOff>
      <xdr:row>48</xdr:row>
      <xdr:rowOff>65743</xdr:rowOff>
    </xdr:from>
    <xdr:to>
      <xdr:col>12</xdr:col>
      <xdr:colOff>304313</xdr:colOff>
      <xdr:row>63</xdr:row>
      <xdr:rowOff>65743</xdr:rowOff>
    </xdr:to>
    <xdr:graphicFrame macro="">
      <xdr:nvGraphicFramePr>
        <xdr:cNvPr id="11" name="Chart 10">
          <a:extLst>
            <a:ext uri="{FF2B5EF4-FFF2-40B4-BE49-F238E27FC236}">
              <a16:creationId xmlns:a16="http://schemas.microsoft.com/office/drawing/2014/main" id="{FABA7F7F-ECC1-43C7-9CCC-7C7FB86D7A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66</xdr:row>
      <xdr:rowOff>148590</xdr:rowOff>
    </xdr:from>
    <xdr:to>
      <xdr:col>13</xdr:col>
      <xdr:colOff>304800</xdr:colOff>
      <xdr:row>81</xdr:row>
      <xdr:rowOff>148590</xdr:rowOff>
    </xdr:to>
    <xdr:graphicFrame macro="">
      <xdr:nvGraphicFramePr>
        <xdr:cNvPr id="12" name="Chart 11">
          <a:extLst>
            <a:ext uri="{FF2B5EF4-FFF2-40B4-BE49-F238E27FC236}">
              <a16:creationId xmlns:a16="http://schemas.microsoft.com/office/drawing/2014/main" id="{FBEE3913-C5E0-45D6-8729-A31F7630A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120299</xdr:colOff>
      <xdr:row>84</xdr:row>
      <xdr:rowOff>175341</xdr:rowOff>
    </xdr:from>
    <xdr:to>
      <xdr:col>12</xdr:col>
      <xdr:colOff>207200</xdr:colOff>
      <xdr:row>99</xdr:row>
      <xdr:rowOff>175341</xdr:rowOff>
    </xdr:to>
    <xdr:graphicFrame macro="">
      <xdr:nvGraphicFramePr>
        <xdr:cNvPr id="14" name="Chart 13">
          <a:extLst>
            <a:ext uri="{FF2B5EF4-FFF2-40B4-BE49-F238E27FC236}">
              <a16:creationId xmlns:a16="http://schemas.microsoft.com/office/drawing/2014/main" id="{75B730D1-4F35-45C8-A12E-87D363086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137160</xdr:colOff>
      <xdr:row>10</xdr:row>
      <xdr:rowOff>121920</xdr:rowOff>
    </xdr:from>
    <xdr:to>
      <xdr:col>14</xdr:col>
      <xdr:colOff>129540</xdr:colOff>
      <xdr:row>24</xdr:row>
      <xdr:rowOff>28575</xdr:rowOff>
    </xdr:to>
    <mc:AlternateContent xmlns:mc="http://schemas.openxmlformats.org/markup-compatibility/2006" xmlns:a14="http://schemas.microsoft.com/office/drawing/2010/main">
      <mc:Choice Requires="a14">
        <xdr:graphicFrame macro="">
          <xdr:nvGraphicFramePr>
            <xdr:cNvPr id="24" name="Product">
              <a:extLst>
                <a:ext uri="{FF2B5EF4-FFF2-40B4-BE49-F238E27FC236}">
                  <a16:creationId xmlns:a16="http://schemas.microsoft.com/office/drawing/2014/main" id="{A4A2BE3E-E594-4555-AC07-EECE61F40B3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173500" y="1986388"/>
              <a:ext cx="1832529" cy="2516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144780</xdr:colOff>
      <xdr:row>101</xdr:row>
      <xdr:rowOff>140970</xdr:rowOff>
    </xdr:from>
    <xdr:to>
      <xdr:col>15</xdr:col>
      <xdr:colOff>281940</xdr:colOff>
      <xdr:row>116</xdr:row>
      <xdr:rowOff>140970</xdr:rowOff>
    </xdr:to>
    <xdr:graphicFrame macro="">
      <xdr:nvGraphicFramePr>
        <xdr:cNvPr id="33" name="Chart 32">
          <a:extLst>
            <a:ext uri="{FF2B5EF4-FFF2-40B4-BE49-F238E27FC236}">
              <a16:creationId xmlns:a16="http://schemas.microsoft.com/office/drawing/2014/main" id="{A48A64F4-259C-463B-90DA-600599EE8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340468</xdr:colOff>
      <xdr:row>29</xdr:row>
      <xdr:rowOff>51071</xdr:rowOff>
    </xdr:from>
    <xdr:to>
      <xdr:col>13</xdr:col>
      <xdr:colOff>364787</xdr:colOff>
      <xdr:row>43</xdr:row>
      <xdr:rowOff>184015</xdr:rowOff>
    </xdr:to>
    <xdr:graphicFrame macro="">
      <xdr:nvGraphicFramePr>
        <xdr:cNvPr id="2" name="Chart 1">
          <a:extLst>
            <a:ext uri="{FF2B5EF4-FFF2-40B4-BE49-F238E27FC236}">
              <a16:creationId xmlns:a16="http://schemas.microsoft.com/office/drawing/2014/main" id="{2D9FA72E-6FF2-47D3-8787-A0A32F346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186447</xdr:colOff>
      <xdr:row>141</xdr:row>
      <xdr:rowOff>51070</xdr:rowOff>
    </xdr:from>
    <xdr:to>
      <xdr:col>9</xdr:col>
      <xdr:colOff>251298</xdr:colOff>
      <xdr:row>155</xdr:row>
      <xdr:rowOff>184015</xdr:rowOff>
    </xdr:to>
    <xdr:graphicFrame macro="">
      <xdr:nvGraphicFramePr>
        <xdr:cNvPr id="3" name="Chart 2">
          <a:extLst>
            <a:ext uri="{FF2B5EF4-FFF2-40B4-BE49-F238E27FC236}">
              <a16:creationId xmlns:a16="http://schemas.microsoft.com/office/drawing/2014/main" id="{B2B1315C-9028-417C-AC46-37F639E7A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0</xdr:colOff>
      <xdr:row>108</xdr:row>
      <xdr:rowOff>0</xdr:rowOff>
    </xdr:from>
    <xdr:to>
      <xdr:col>20</xdr:col>
      <xdr:colOff>4864</xdr:colOff>
      <xdr:row>121</xdr:row>
      <xdr:rowOff>43166</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FA9F6E12-28B3-4EFE-8DB9-A11D19CCA5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67681" y="2013625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342900</xdr:colOff>
      <xdr:row>51</xdr:row>
      <xdr:rowOff>30480</xdr:rowOff>
    </xdr:to>
    <xdr:sp macro="" textlink="">
      <xdr:nvSpPr>
        <xdr:cNvPr id="3" name="Rectangle 2">
          <a:extLst>
            <a:ext uri="{FF2B5EF4-FFF2-40B4-BE49-F238E27FC236}">
              <a16:creationId xmlns:a16="http://schemas.microsoft.com/office/drawing/2014/main" id="{B711EA29-FE77-0C6B-8760-F330C1FA6CB9}"/>
            </a:ext>
          </a:extLst>
        </xdr:cNvPr>
        <xdr:cNvSpPr/>
      </xdr:nvSpPr>
      <xdr:spPr>
        <a:xfrm>
          <a:off x="0" y="0"/>
          <a:ext cx="14363700" cy="935736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274320</xdr:colOff>
      <xdr:row>0</xdr:row>
      <xdr:rowOff>152400</xdr:rowOff>
    </xdr:from>
    <xdr:to>
      <xdr:col>15</xdr:col>
      <xdr:colOff>449580</xdr:colOff>
      <xdr:row>3</xdr:row>
      <xdr:rowOff>129540</xdr:rowOff>
    </xdr:to>
    <xdr:sp macro="" textlink="">
      <xdr:nvSpPr>
        <xdr:cNvPr id="4" name="Rectangle 3">
          <a:extLst>
            <a:ext uri="{FF2B5EF4-FFF2-40B4-BE49-F238E27FC236}">
              <a16:creationId xmlns:a16="http://schemas.microsoft.com/office/drawing/2014/main" id="{3DA1F512-8C1B-BD87-389B-FC06CD80BC9B}"/>
            </a:ext>
          </a:extLst>
        </xdr:cNvPr>
        <xdr:cNvSpPr/>
      </xdr:nvSpPr>
      <xdr:spPr>
        <a:xfrm>
          <a:off x="3931920" y="152400"/>
          <a:ext cx="5661660" cy="525780"/>
        </a:xfrm>
        <a:prstGeom prst="rect">
          <a:avLst/>
        </a:prstGeom>
        <a:effectLst>
          <a:outerShdw blurRad="50800" dist="38100" dir="2700000" algn="tl" rotWithShape="0">
            <a:prstClr val="black">
              <a:alpha val="40000"/>
            </a:prst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US" sz="2800" b="0" cap="none" spc="0">
              <a:ln w="0"/>
              <a:solidFill>
                <a:schemeClr val="accent2"/>
              </a:solidFill>
              <a:effectLst>
                <a:outerShdw blurRad="38100" dist="19050" dir="2700000" algn="tl" rotWithShape="0">
                  <a:schemeClr val="dk1">
                    <a:alpha val="40000"/>
                  </a:schemeClr>
                </a:outerShdw>
              </a:effectLst>
            </a:rPr>
            <a:t>Sales</a:t>
          </a:r>
          <a:r>
            <a:rPr lang="en-US" sz="2800" b="0" cap="none" spc="0" baseline="0">
              <a:ln w="0"/>
              <a:solidFill>
                <a:schemeClr val="accent2"/>
              </a:solidFill>
              <a:effectLst>
                <a:outerShdw blurRad="38100" dist="19050" dir="2700000" algn="tl" rotWithShape="0">
                  <a:schemeClr val="dk1">
                    <a:alpha val="40000"/>
                  </a:schemeClr>
                </a:outerShdw>
              </a:effectLst>
            </a:rPr>
            <a:t> &amp; </a:t>
          </a:r>
          <a:r>
            <a:rPr lang="en-US" sz="2800" b="0" cap="none" spc="0" baseline="0">
              <a:ln w="0"/>
              <a:solidFill>
                <a:schemeClr val="accent2"/>
              </a:solidFill>
              <a:effectLst>
                <a:outerShdw blurRad="50800" dist="38100" dir="2700000" algn="tl" rotWithShape="0">
                  <a:prstClr val="black">
                    <a:alpha val="40000"/>
                  </a:prstClr>
                </a:outerShdw>
              </a:effectLst>
            </a:rPr>
            <a:t>Performance</a:t>
          </a:r>
          <a:r>
            <a:rPr lang="en-US" sz="2800" b="0" cap="none" spc="0" baseline="0">
              <a:ln w="0"/>
              <a:solidFill>
                <a:schemeClr val="accent2"/>
              </a:solidFill>
              <a:effectLst>
                <a:outerShdw blurRad="38100" dist="19050" dir="2700000" algn="tl" rotWithShape="0">
                  <a:schemeClr val="dk1">
                    <a:alpha val="40000"/>
                  </a:schemeClr>
                </a:outerShdw>
              </a:effectLst>
            </a:rPr>
            <a:t> Analysis 2026</a:t>
          </a:r>
          <a:endParaRPr lang="en-US" sz="2800" b="0" cap="none" spc="0">
            <a:ln w="0"/>
            <a:solidFill>
              <a:schemeClr val="accent2"/>
            </a:solidFill>
            <a:effectLst>
              <a:outerShdw blurRad="38100" dist="19050" dir="2700000" algn="tl" rotWithShape="0">
                <a:schemeClr val="dk1">
                  <a:alpha val="40000"/>
                </a:schemeClr>
              </a:outerShdw>
            </a:effectLst>
          </a:endParaRPr>
        </a:p>
      </xdr:txBody>
    </xdr:sp>
    <xdr:clientData/>
  </xdr:twoCellAnchor>
  <xdr:twoCellAnchor>
    <xdr:from>
      <xdr:col>0</xdr:col>
      <xdr:colOff>91440</xdr:colOff>
      <xdr:row>5</xdr:row>
      <xdr:rowOff>160020</xdr:rowOff>
    </xdr:from>
    <xdr:to>
      <xdr:col>4</xdr:col>
      <xdr:colOff>228600</xdr:colOff>
      <xdr:row>10</xdr:row>
      <xdr:rowOff>0</xdr:rowOff>
    </xdr:to>
    <xdr:sp macro="" textlink="'KPI Summary'!$A$4">
      <xdr:nvSpPr>
        <xdr:cNvPr id="5" name="Rectangle 4">
          <a:extLst>
            <a:ext uri="{FF2B5EF4-FFF2-40B4-BE49-F238E27FC236}">
              <a16:creationId xmlns:a16="http://schemas.microsoft.com/office/drawing/2014/main" id="{6F3E7B71-2C93-9E01-166C-97D5C810F5E3}"/>
            </a:ext>
          </a:extLst>
        </xdr:cNvPr>
        <xdr:cNvSpPr/>
      </xdr:nvSpPr>
      <xdr:spPr>
        <a:xfrm>
          <a:off x="91440" y="1074420"/>
          <a:ext cx="2575560" cy="754380"/>
        </a:xfrm>
        <a:prstGeom prst="rect">
          <a:avLst/>
        </a:prstGeom>
        <a:solidFill>
          <a:srgbClr val="FFFFFF"/>
        </a:solidFill>
        <a:ln w="19050">
          <a:solidFill>
            <a:schemeClr val="bg1"/>
          </a:solidFill>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tx1"/>
              </a:solidFill>
              <a:latin typeface="Calibri"/>
              <a:cs typeface="Calibri"/>
            </a:rPr>
            <a:t>Total Profit</a:t>
          </a:r>
        </a:p>
        <a:p>
          <a:pPr algn="ctr"/>
          <a:fld id="{022ABDE2-DE68-42A5-8E11-2A474FC1924F}" type="TxLink">
            <a:rPr lang="en-US" sz="2400" b="0" i="0" u="none" strike="noStrike">
              <a:solidFill>
                <a:schemeClr val="tx1"/>
              </a:solidFill>
              <a:latin typeface="Calibri"/>
              <a:cs typeface="Calibri"/>
            </a:rPr>
            <a:pPr algn="ctr"/>
            <a:t>5.36M</a:t>
          </a:fld>
          <a:endParaRPr lang="en-US" sz="2400">
            <a:solidFill>
              <a:schemeClr val="tx1"/>
            </a:solidFill>
          </a:endParaRPr>
        </a:p>
      </xdr:txBody>
    </xdr:sp>
    <xdr:clientData/>
  </xdr:twoCellAnchor>
  <xdr:twoCellAnchor>
    <xdr:from>
      <xdr:col>9</xdr:col>
      <xdr:colOff>259080</xdr:colOff>
      <xdr:row>6</xdr:row>
      <xdr:rowOff>0</xdr:rowOff>
    </xdr:from>
    <xdr:to>
      <xdr:col>13</xdr:col>
      <xdr:colOff>396240</xdr:colOff>
      <xdr:row>10</xdr:row>
      <xdr:rowOff>22860</xdr:rowOff>
    </xdr:to>
    <xdr:sp macro="" textlink="'KPI Summary'!$A$16">
      <xdr:nvSpPr>
        <xdr:cNvPr id="7" name="Rectangle 6">
          <a:extLst>
            <a:ext uri="{FF2B5EF4-FFF2-40B4-BE49-F238E27FC236}">
              <a16:creationId xmlns:a16="http://schemas.microsoft.com/office/drawing/2014/main" id="{72604C58-799E-4463-9DF6-BDA4D2FCC3F6}"/>
            </a:ext>
          </a:extLst>
        </xdr:cNvPr>
        <xdr:cNvSpPr/>
      </xdr:nvSpPr>
      <xdr:spPr>
        <a:xfrm>
          <a:off x="5745480" y="1097280"/>
          <a:ext cx="2575560" cy="754380"/>
        </a:xfrm>
        <a:prstGeom prst="rect">
          <a:avLst/>
        </a:prstGeom>
        <a:solidFill>
          <a:schemeClr val="bg1"/>
        </a:solidFill>
        <a:ln w="12700">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a:solidFill>
                <a:srgbClr val="000000"/>
              </a:solidFill>
              <a:latin typeface="Calibri"/>
              <a:cs typeface="Calibri"/>
            </a:rPr>
            <a:t>Total Sales</a:t>
          </a:r>
        </a:p>
        <a:p>
          <a:pPr algn="ctr"/>
          <a:fld id="{C2070611-906D-4FBB-9544-FCE53877D0F7}" type="TxLink">
            <a:rPr lang="en-US" sz="2400" b="0" i="0" u="none" strike="noStrike">
              <a:solidFill>
                <a:srgbClr val="000000"/>
              </a:solidFill>
              <a:latin typeface="Calibri"/>
              <a:cs typeface="Calibri"/>
            </a:rPr>
            <a:pPr algn="ctr"/>
            <a:t>19.98M</a:t>
          </a:fld>
          <a:endParaRPr lang="en-US" sz="2400"/>
        </a:p>
      </xdr:txBody>
    </xdr:sp>
    <xdr:clientData/>
  </xdr:twoCellAnchor>
  <xdr:twoCellAnchor>
    <xdr:from>
      <xdr:col>4</xdr:col>
      <xdr:colOff>449580</xdr:colOff>
      <xdr:row>5</xdr:row>
      <xdr:rowOff>167640</xdr:rowOff>
    </xdr:from>
    <xdr:to>
      <xdr:col>8</xdr:col>
      <xdr:colOff>586740</xdr:colOff>
      <xdr:row>10</xdr:row>
      <xdr:rowOff>7620</xdr:rowOff>
    </xdr:to>
    <xdr:sp macro="" textlink="'KPI Summary'!$A$12">
      <xdr:nvSpPr>
        <xdr:cNvPr id="9" name="Rectangle 8">
          <a:extLst>
            <a:ext uri="{FF2B5EF4-FFF2-40B4-BE49-F238E27FC236}">
              <a16:creationId xmlns:a16="http://schemas.microsoft.com/office/drawing/2014/main" id="{5BCA44E6-CA53-4943-A740-E2112EA02B84}"/>
            </a:ext>
          </a:extLst>
        </xdr:cNvPr>
        <xdr:cNvSpPr/>
      </xdr:nvSpPr>
      <xdr:spPr>
        <a:xfrm>
          <a:off x="2887980" y="1082040"/>
          <a:ext cx="2575560" cy="754380"/>
        </a:xfrm>
        <a:prstGeom prst="rect">
          <a:avLst/>
        </a:prstGeom>
        <a:solidFill>
          <a:schemeClr val="bg1"/>
        </a:solidFill>
        <a:ln w="12700">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rgbClr val="000000"/>
              </a:solidFill>
              <a:latin typeface="Calibri"/>
              <a:cs typeface="Calibri"/>
            </a:rPr>
            <a:t>Total Discount</a:t>
          </a:r>
        </a:p>
        <a:p>
          <a:pPr algn="ctr"/>
          <a:fld id="{261C0D79-2883-4EF9-995D-CDCE569B8F60}" type="TxLink">
            <a:rPr lang="en-US" sz="2400" b="0" i="0" u="none" strike="noStrike">
              <a:solidFill>
                <a:srgbClr val="000000"/>
              </a:solidFill>
              <a:latin typeface="Calibri"/>
              <a:cs typeface="Calibri"/>
            </a:rPr>
            <a:pPr algn="ctr"/>
            <a:t>6.925</a:t>
          </a:fld>
          <a:endParaRPr lang="en-US" sz="2400"/>
        </a:p>
      </xdr:txBody>
    </xdr:sp>
    <xdr:clientData/>
  </xdr:twoCellAnchor>
  <xdr:twoCellAnchor>
    <xdr:from>
      <xdr:col>14</xdr:col>
      <xdr:colOff>22860</xdr:colOff>
      <xdr:row>6</xdr:row>
      <xdr:rowOff>0</xdr:rowOff>
    </xdr:from>
    <xdr:to>
      <xdr:col>18</xdr:col>
      <xdr:colOff>160020</xdr:colOff>
      <xdr:row>10</xdr:row>
      <xdr:rowOff>22860</xdr:rowOff>
    </xdr:to>
    <xdr:sp macro="" textlink="'KPI Summary'!$A$20">
      <xdr:nvSpPr>
        <xdr:cNvPr id="6" name="Rectangle 5">
          <a:extLst>
            <a:ext uri="{FF2B5EF4-FFF2-40B4-BE49-F238E27FC236}">
              <a16:creationId xmlns:a16="http://schemas.microsoft.com/office/drawing/2014/main" id="{DA103801-EBDF-454F-89A1-92531C292A8C}"/>
            </a:ext>
          </a:extLst>
        </xdr:cNvPr>
        <xdr:cNvSpPr/>
      </xdr:nvSpPr>
      <xdr:spPr>
        <a:xfrm>
          <a:off x="8557260" y="1097280"/>
          <a:ext cx="2575560" cy="75438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rgbClr val="000000"/>
              </a:solidFill>
              <a:latin typeface="Calibri"/>
              <a:cs typeface="Calibri"/>
            </a:rPr>
            <a:t>Total Cost</a:t>
          </a:r>
        </a:p>
        <a:p>
          <a:pPr algn="ctr"/>
          <a:fld id="{D1055333-0FFD-4855-946D-948AC11DF301}" type="TxLink">
            <a:rPr lang="en-US" sz="2400" b="0" i="0" u="none" strike="noStrike">
              <a:solidFill>
                <a:srgbClr val="000000"/>
              </a:solidFill>
              <a:latin typeface="Calibri"/>
              <a:cs typeface="Calibri"/>
            </a:rPr>
            <a:pPr algn="ctr"/>
            <a:t>14.63M</a:t>
          </a:fld>
          <a:endParaRPr lang="en-US" sz="2400"/>
        </a:p>
      </xdr:txBody>
    </xdr:sp>
    <xdr:clientData/>
  </xdr:twoCellAnchor>
  <xdr:twoCellAnchor>
    <xdr:from>
      <xdr:col>18</xdr:col>
      <xdr:colOff>441960</xdr:colOff>
      <xdr:row>5</xdr:row>
      <xdr:rowOff>160020</xdr:rowOff>
    </xdr:from>
    <xdr:to>
      <xdr:col>22</xdr:col>
      <xdr:colOff>579120</xdr:colOff>
      <xdr:row>10</xdr:row>
      <xdr:rowOff>0</xdr:rowOff>
    </xdr:to>
    <xdr:sp macro="" textlink="'KPI Summary'!$A$8">
      <xdr:nvSpPr>
        <xdr:cNvPr id="10" name="Rectangle 9">
          <a:extLst>
            <a:ext uri="{FF2B5EF4-FFF2-40B4-BE49-F238E27FC236}">
              <a16:creationId xmlns:a16="http://schemas.microsoft.com/office/drawing/2014/main" id="{3692D655-6D18-4CCA-B506-F1FCC66D38B9}"/>
            </a:ext>
          </a:extLst>
        </xdr:cNvPr>
        <xdr:cNvSpPr/>
      </xdr:nvSpPr>
      <xdr:spPr>
        <a:xfrm>
          <a:off x="11414760" y="1074420"/>
          <a:ext cx="2575560" cy="75438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rgbClr val="000000"/>
              </a:solidFill>
              <a:latin typeface="Calibri"/>
              <a:cs typeface="Calibri"/>
            </a:rPr>
            <a:t>Total Count</a:t>
          </a:r>
        </a:p>
        <a:p>
          <a:pPr algn="ctr"/>
          <a:fld id="{C9A59935-C4D0-4620-B59D-7963D8B96279}" type="TxLink">
            <a:rPr lang="en-US" sz="2400" b="0" i="0" u="none" strike="noStrike">
              <a:solidFill>
                <a:srgbClr val="000000"/>
              </a:solidFill>
              <a:latin typeface="Calibri"/>
              <a:cs typeface="Calibri"/>
            </a:rPr>
            <a:pPr algn="ctr"/>
            <a:t>200</a:t>
          </a:fld>
          <a:endParaRPr lang="en-US" sz="2400" b="0" i="0" u="none" strike="noStrike">
            <a:solidFill>
              <a:srgbClr val="000000"/>
            </a:solidFill>
            <a:latin typeface="Calibri"/>
            <a:cs typeface="Calibri"/>
          </a:endParaRPr>
        </a:p>
      </xdr:txBody>
    </xdr:sp>
    <xdr:clientData/>
  </xdr:twoCellAnchor>
  <xdr:twoCellAnchor>
    <xdr:from>
      <xdr:col>10</xdr:col>
      <xdr:colOff>22860</xdr:colOff>
      <xdr:row>12</xdr:row>
      <xdr:rowOff>167640</xdr:rowOff>
    </xdr:from>
    <xdr:to>
      <xdr:col>15</xdr:col>
      <xdr:colOff>228600</xdr:colOff>
      <xdr:row>28</xdr:row>
      <xdr:rowOff>38100</xdr:rowOff>
    </xdr:to>
    <xdr:graphicFrame macro="">
      <xdr:nvGraphicFramePr>
        <xdr:cNvPr id="12" name="Chart 11">
          <a:extLst>
            <a:ext uri="{FF2B5EF4-FFF2-40B4-BE49-F238E27FC236}">
              <a16:creationId xmlns:a16="http://schemas.microsoft.com/office/drawing/2014/main" id="{2743B079-0D34-462F-888C-19010E950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167640</xdr:colOff>
      <xdr:row>30</xdr:row>
      <xdr:rowOff>30480</xdr:rowOff>
    </xdr:from>
    <xdr:to>
      <xdr:col>9</xdr:col>
      <xdr:colOff>141699</xdr:colOff>
      <xdr:row>47</xdr:row>
      <xdr:rowOff>152400</xdr:rowOff>
    </xdr:to>
    <xdr:graphicFrame macro="">
      <xdr:nvGraphicFramePr>
        <xdr:cNvPr id="14" name="Chart 13">
          <a:extLst>
            <a:ext uri="{FF2B5EF4-FFF2-40B4-BE49-F238E27FC236}">
              <a16:creationId xmlns:a16="http://schemas.microsoft.com/office/drawing/2014/main" id="{4412C405-94AD-419B-B544-469C9D3D6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403860</xdr:colOff>
      <xdr:row>30</xdr:row>
      <xdr:rowOff>45720</xdr:rowOff>
    </xdr:from>
    <xdr:to>
      <xdr:col>22</xdr:col>
      <xdr:colOff>594361</xdr:colOff>
      <xdr:row>48</xdr:row>
      <xdr:rowOff>0</xdr:rowOff>
    </xdr:to>
    <xdr:graphicFrame macro="">
      <xdr:nvGraphicFramePr>
        <xdr:cNvPr id="15" name="Chart 14">
          <a:extLst>
            <a:ext uri="{FF2B5EF4-FFF2-40B4-BE49-F238E27FC236}">
              <a16:creationId xmlns:a16="http://schemas.microsoft.com/office/drawing/2014/main" id="{809DEBF8-79F1-4C8D-813A-41AAE5AB9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426719</xdr:colOff>
      <xdr:row>13</xdr:row>
      <xdr:rowOff>15240</xdr:rowOff>
    </xdr:from>
    <xdr:to>
      <xdr:col>19</xdr:col>
      <xdr:colOff>518160</xdr:colOff>
      <xdr:row>28</xdr:row>
      <xdr:rowOff>45720</xdr:rowOff>
    </xdr:to>
    <xdr:graphicFrame macro="">
      <xdr:nvGraphicFramePr>
        <xdr:cNvPr id="16" name="Chart 15">
          <a:extLst>
            <a:ext uri="{FF2B5EF4-FFF2-40B4-BE49-F238E27FC236}">
              <a16:creationId xmlns:a16="http://schemas.microsoft.com/office/drawing/2014/main" id="{1F57AB25-0917-4F01-A9D6-A8B727BB5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68580</xdr:colOff>
      <xdr:row>14</xdr:row>
      <xdr:rowOff>106681</xdr:rowOff>
    </xdr:from>
    <xdr:to>
      <xdr:col>23</xdr:col>
      <xdr:colOff>68580</xdr:colOff>
      <xdr:row>24</xdr:row>
      <xdr:rowOff>170689</xdr:rowOff>
    </xdr:to>
    <mc:AlternateContent xmlns:mc="http://schemas.openxmlformats.org/markup-compatibility/2006" xmlns:a14="http://schemas.microsoft.com/office/drawing/2010/main">
      <mc:Choice Requires="a14">
        <xdr:graphicFrame macro="">
          <xdr:nvGraphicFramePr>
            <xdr:cNvPr id="17" name="Region 2">
              <a:extLst>
                <a:ext uri="{FF2B5EF4-FFF2-40B4-BE49-F238E27FC236}">
                  <a16:creationId xmlns:a16="http://schemas.microsoft.com/office/drawing/2014/main" id="{4172CB78-2D3B-4AB8-9036-44175979E39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260580" y="2667001"/>
              <a:ext cx="1828800" cy="1892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160020</xdr:colOff>
      <xdr:row>12</xdr:row>
      <xdr:rowOff>91440</xdr:rowOff>
    </xdr:from>
    <xdr:to>
      <xdr:col>9</xdr:col>
      <xdr:colOff>403860</xdr:colOff>
      <xdr:row>28</xdr:row>
      <xdr:rowOff>38100</xdr:rowOff>
    </xdr:to>
    <xdr:graphicFrame macro="">
      <xdr:nvGraphicFramePr>
        <xdr:cNvPr id="18" name="Chart 17">
          <a:extLst>
            <a:ext uri="{FF2B5EF4-FFF2-40B4-BE49-F238E27FC236}">
              <a16:creationId xmlns:a16="http://schemas.microsoft.com/office/drawing/2014/main" id="{82BD531E-F67D-4139-941C-0C99D9EE0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0</xdr:row>
      <xdr:rowOff>0</xdr:rowOff>
    </xdr:from>
    <xdr:to>
      <xdr:col>23</xdr:col>
      <xdr:colOff>137160</xdr:colOff>
      <xdr:row>35</xdr:row>
      <xdr:rowOff>30480</xdr:rowOff>
    </xdr:to>
    <xdr:sp macro="" textlink="">
      <xdr:nvSpPr>
        <xdr:cNvPr id="2" name="Rectangle 1">
          <a:extLst>
            <a:ext uri="{FF2B5EF4-FFF2-40B4-BE49-F238E27FC236}">
              <a16:creationId xmlns:a16="http://schemas.microsoft.com/office/drawing/2014/main" id="{119FCBAA-0D12-DA1D-D52A-E77007973AE9}"/>
            </a:ext>
          </a:extLst>
        </xdr:cNvPr>
        <xdr:cNvSpPr/>
      </xdr:nvSpPr>
      <xdr:spPr>
        <a:xfrm>
          <a:off x="22860" y="0"/>
          <a:ext cx="14135100" cy="6431280"/>
        </a:xfrm>
        <a:prstGeom prst="rect">
          <a:avLst/>
        </a:prstGeom>
        <a:ln/>
      </xdr:spPr>
      <xdr:style>
        <a:lnRef idx="0">
          <a:schemeClr val="accent3"/>
        </a:lnRef>
        <a:fillRef idx="1002">
          <a:schemeClr val="dk2"/>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403860</xdr:colOff>
      <xdr:row>0</xdr:row>
      <xdr:rowOff>68580</xdr:rowOff>
    </xdr:from>
    <xdr:to>
      <xdr:col>14</xdr:col>
      <xdr:colOff>533400</xdr:colOff>
      <xdr:row>4</xdr:row>
      <xdr:rowOff>15240</xdr:rowOff>
    </xdr:to>
    <xdr:sp macro="" textlink="">
      <xdr:nvSpPr>
        <xdr:cNvPr id="4" name="Rectangle: Rounded Corners 3">
          <a:extLst>
            <a:ext uri="{FF2B5EF4-FFF2-40B4-BE49-F238E27FC236}">
              <a16:creationId xmlns:a16="http://schemas.microsoft.com/office/drawing/2014/main" id="{0E673D08-EBD3-4728-F5E2-1A5A45BD8F2F}"/>
            </a:ext>
          </a:extLst>
        </xdr:cNvPr>
        <xdr:cNvSpPr/>
      </xdr:nvSpPr>
      <xdr:spPr>
        <a:xfrm>
          <a:off x="4671060" y="68580"/>
          <a:ext cx="4396740" cy="678180"/>
        </a:xfrm>
        <a:prstGeom prst="roundRect">
          <a:avLst/>
        </a:prstGeom>
      </xdr:spPr>
      <xdr:style>
        <a:lnRef idx="0">
          <a:schemeClr val="accent3"/>
        </a:lnRef>
        <a:fillRef idx="1002">
          <a:schemeClr val="lt1"/>
        </a:fillRef>
        <a:effectRef idx="3">
          <a:schemeClr val="accent3"/>
        </a:effectRef>
        <a:fontRef idx="minor">
          <a:schemeClr val="lt1"/>
        </a:fontRef>
      </xdr:style>
      <xdr:txBody>
        <a:bodyPr vertOverflow="clip" horzOverflow="clip" rtlCol="0" anchor="ctr"/>
        <a:lstStyle/>
        <a:p>
          <a:pPr algn="ctr"/>
          <a:r>
            <a:rPr lang="en-US" sz="2800" b="0" cap="none" spc="0">
              <a:ln w="0"/>
              <a:solidFill>
                <a:schemeClr val="accent1"/>
              </a:solidFill>
              <a:effectLst>
                <a:outerShdw blurRad="38100" dist="25400" dir="5400000" algn="ctr" rotWithShape="0">
                  <a:srgbClr val="6E747A">
                    <a:alpha val="43000"/>
                  </a:srgbClr>
                </a:outerShdw>
              </a:effectLst>
            </a:rPr>
            <a:t>Sale</a:t>
          </a:r>
          <a:r>
            <a:rPr lang="en-US" sz="2800" b="0" cap="none" spc="0" baseline="0">
              <a:ln w="0"/>
              <a:solidFill>
                <a:schemeClr val="accent1"/>
              </a:solidFill>
              <a:effectLst>
                <a:outerShdw blurRad="38100" dist="25400" dir="5400000" algn="ctr" rotWithShape="0">
                  <a:srgbClr val="6E747A">
                    <a:alpha val="43000"/>
                  </a:srgbClr>
                </a:outerShdw>
              </a:effectLst>
            </a:rPr>
            <a:t>s Analysis Dashboard</a:t>
          </a:r>
          <a:endParaRPr lang="en-US"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419100</xdr:colOff>
      <xdr:row>5</xdr:row>
      <xdr:rowOff>114300</xdr:rowOff>
    </xdr:from>
    <xdr:to>
      <xdr:col>3</xdr:col>
      <xdr:colOff>533400</xdr:colOff>
      <xdr:row>9</xdr:row>
      <xdr:rowOff>68580</xdr:rowOff>
    </xdr:to>
    <xdr:sp macro="" textlink="Sheet1!$A$31">
      <xdr:nvSpPr>
        <xdr:cNvPr id="5" name="Rectangle: Rounded Corners 4">
          <a:extLst>
            <a:ext uri="{FF2B5EF4-FFF2-40B4-BE49-F238E27FC236}">
              <a16:creationId xmlns:a16="http://schemas.microsoft.com/office/drawing/2014/main" id="{98A37D2E-EA5E-CD87-53AF-4DFA263199F9}"/>
            </a:ext>
          </a:extLst>
        </xdr:cNvPr>
        <xdr:cNvSpPr/>
      </xdr:nvSpPr>
      <xdr:spPr>
        <a:xfrm>
          <a:off x="419100" y="1028700"/>
          <a:ext cx="1943100" cy="685800"/>
        </a:xfrm>
        <a:prstGeom prst="roundRect">
          <a:avLst/>
        </a:prstGeom>
        <a:ln w="3175"/>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C288B06-2339-4EE9-B1FB-919C02C7892F}" type="TxLink">
            <a:rPr lang="en-US" sz="1100" b="0" i="0" u="none" strike="noStrike">
              <a:solidFill>
                <a:srgbClr val="000000"/>
              </a:solidFill>
              <a:latin typeface="Calibri"/>
              <a:cs typeface="Calibri"/>
            </a:rPr>
            <a:t> </a:t>
          </a:fld>
          <a:endParaRPr lang="en-US" sz="1100"/>
        </a:p>
      </xdr:txBody>
    </xdr:sp>
    <xdr:clientData/>
  </xdr:twoCellAnchor>
  <xdr:twoCellAnchor>
    <xdr:from>
      <xdr:col>0</xdr:col>
      <xdr:colOff>434340</xdr:colOff>
      <xdr:row>20</xdr:row>
      <xdr:rowOff>167640</xdr:rowOff>
    </xdr:from>
    <xdr:to>
      <xdr:col>3</xdr:col>
      <xdr:colOff>548640</xdr:colOff>
      <xdr:row>24</xdr:row>
      <xdr:rowOff>121920</xdr:rowOff>
    </xdr:to>
    <xdr:sp macro="" textlink="">
      <xdr:nvSpPr>
        <xdr:cNvPr id="9" name="Rectangle: Rounded Corners 8">
          <a:extLst>
            <a:ext uri="{FF2B5EF4-FFF2-40B4-BE49-F238E27FC236}">
              <a16:creationId xmlns:a16="http://schemas.microsoft.com/office/drawing/2014/main" id="{10C37D30-C498-4D21-B002-F22E77858463}"/>
            </a:ext>
          </a:extLst>
        </xdr:cNvPr>
        <xdr:cNvSpPr/>
      </xdr:nvSpPr>
      <xdr:spPr>
        <a:xfrm>
          <a:off x="434340" y="3825240"/>
          <a:ext cx="1943100" cy="685800"/>
        </a:xfrm>
        <a:prstGeom prst="roundRect">
          <a:avLst/>
        </a:prstGeom>
        <a:ln w="3175"/>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441960</xdr:colOff>
      <xdr:row>15</xdr:row>
      <xdr:rowOff>53340</xdr:rowOff>
    </xdr:from>
    <xdr:to>
      <xdr:col>3</xdr:col>
      <xdr:colOff>556260</xdr:colOff>
      <xdr:row>19</xdr:row>
      <xdr:rowOff>7620</xdr:rowOff>
    </xdr:to>
    <xdr:sp macro="" textlink="">
      <xdr:nvSpPr>
        <xdr:cNvPr id="10" name="Rectangle: Rounded Corners 9">
          <a:extLst>
            <a:ext uri="{FF2B5EF4-FFF2-40B4-BE49-F238E27FC236}">
              <a16:creationId xmlns:a16="http://schemas.microsoft.com/office/drawing/2014/main" id="{0A158A2F-030B-4BF5-9640-D382E0BAEF5A}"/>
            </a:ext>
          </a:extLst>
        </xdr:cNvPr>
        <xdr:cNvSpPr/>
      </xdr:nvSpPr>
      <xdr:spPr>
        <a:xfrm>
          <a:off x="441960" y="2796540"/>
          <a:ext cx="1943100" cy="685800"/>
        </a:xfrm>
        <a:prstGeom prst="roundRect">
          <a:avLst/>
        </a:prstGeom>
        <a:ln w="3175"/>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449580</xdr:colOff>
      <xdr:row>10</xdr:row>
      <xdr:rowOff>76200</xdr:rowOff>
    </xdr:from>
    <xdr:to>
      <xdr:col>3</xdr:col>
      <xdr:colOff>563880</xdr:colOff>
      <xdr:row>14</xdr:row>
      <xdr:rowOff>30480</xdr:rowOff>
    </xdr:to>
    <xdr:sp macro="" textlink="">
      <xdr:nvSpPr>
        <xdr:cNvPr id="11" name="Rectangle: Rounded Corners 10">
          <a:extLst>
            <a:ext uri="{FF2B5EF4-FFF2-40B4-BE49-F238E27FC236}">
              <a16:creationId xmlns:a16="http://schemas.microsoft.com/office/drawing/2014/main" id="{E4E15219-A00E-4E4D-95D6-2C2711E74C3C}"/>
            </a:ext>
          </a:extLst>
        </xdr:cNvPr>
        <xdr:cNvSpPr/>
      </xdr:nvSpPr>
      <xdr:spPr>
        <a:xfrm>
          <a:off x="449580" y="1905000"/>
          <a:ext cx="1943100" cy="685800"/>
        </a:xfrm>
        <a:prstGeom prst="roundRect">
          <a:avLst/>
        </a:prstGeom>
        <a:ln w="3175"/>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refreshedDate="46271.865669212966" backgroundQuery="1" createdVersion="5" refreshedVersion="8" minRefreshableVersion="3" recordCount="0" supportSubquery="1" supportAdvancedDrill="1" xr:uid="{00000000-000A-0000-FFFF-FFFF30000000}">
  <cacheSource type="external" connectionId="2"/>
  <cacheFields count="2">
    <cacheField name="[Measures].[Sum of Profit]" caption="Sum of Profit" numFmtId="0" hierarchy="21" level="32767"/>
    <cacheField name="[Table1].[Region].[Region]" caption="Region" numFmtId="0" hierarchy="7" level="1">
      <sharedItems containsSemiMixedTypes="0" containsNonDate="0" containsString="0"/>
    </cacheField>
  </cacheFields>
  <cacheHierarchies count="29">
    <cacheHierarchy uniqueName="[Table1].[Sr. No.]" caption="Sr. No." attribute="1" defaultMemberUniqueName="[Table1].[Sr. No.].[All]" allUniqueName="[Table1].[Sr. No.].[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Measures].[__XL_Count Table1]" caption="__XL_Count Table1" measure="1" displayFolder="" measureGroup="Table1" count="0" hidden="1"/>
    <cacheHierarchy uniqueName="[Measures].[__XL_Count of Models]" caption="__XL_Count of Models" measure="1" displayFolder="" count="0" hidden="1"/>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12"/>
        </ext>
      </extLst>
    </cacheHierarchy>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3"/>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14"/>
        </ext>
      </extLst>
    </cacheHierarchy>
    <cacheHierarchy uniqueName="[Measures].[Count of Sales Channel]" caption="Count of Sales Channel"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refreshedDate="46271.865669675928" backgroundQuery="1" createdVersion="7" refreshedVersion="8" minRefreshableVersion="3" recordCount="0" supportSubquery="1" supportAdvancedDrill="1" xr:uid="{831893C9-48BF-438C-8667-13C0B76C4B08}">
  <cacheSource type="external" connectionId="2"/>
  <cacheFields count="4">
    <cacheField name="[Table1].[State].[State]" caption="State" numFmtId="0" hierarchy="5" level="1">
      <sharedItems count="3">
        <s v="Delhi"/>
        <s v="Rajasthan"/>
        <s v="Uttar Pradesh"/>
      </sharedItems>
    </cacheField>
    <cacheField name="[Table1].[City].[City]" caption="City" numFmtId="0" hierarchy="6" level="1">
      <sharedItems count="3">
        <s v="New Delhi"/>
        <s v="Jaipur"/>
        <s v="Lucknow"/>
      </sharedItems>
    </cacheField>
    <cacheField name="[Measures].[Sum of Profit]" caption="Sum of Profit" numFmtId="0" hierarchy="21" level="32767"/>
    <cacheField name="[Table1].[Region].[Region]" caption="Region" numFmtId="0" hierarchy="7" level="1">
      <sharedItems containsSemiMixedTypes="0" containsNonDate="0" containsString="0"/>
    </cacheField>
  </cacheFields>
  <cacheHierarchies count="29">
    <cacheHierarchy uniqueName="[Table1].[Sr. No.]" caption="Sr. No." attribute="1" defaultMemberUniqueName="[Table1].[Sr. No.].[All]" allUniqueName="[Table1].[Sr. No.].[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Measures].[__XL_Count Table1]" caption="__XL_Count Table1" measure="1" displayFolder="" measureGroup="Table1" count="0" hidden="1"/>
    <cacheHierarchy uniqueName="[Measures].[__XL_Count of Models]" caption="__XL_Count of Models" measure="1" displayFolder="" count="0" hidden="1"/>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12"/>
        </ext>
      </extLst>
    </cacheHierarchy>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3"/>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14"/>
        </ext>
      </extLst>
    </cacheHierarchy>
    <cacheHierarchy uniqueName="[Measures].[Count of Sales Channel]" caption="Count of Sales Channel"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refreshedDate="46271.865670370367" backgroundQuery="1" createdVersion="7" refreshedVersion="8" minRefreshableVersion="3" recordCount="0" supportSubquery="1" supportAdvancedDrill="1" xr:uid="{7CFA3870-EB2B-429B-8D62-E4AC7E351D8E}">
  <cacheSource type="external" connectionId="2"/>
  <cacheFields count="3">
    <cacheField name="[Table1].[Date].[Date]" caption="Date" numFmtId="0" hierarchy="1" level="1">
      <sharedItems count="42">
        <s v="01-05-2026"/>
        <s v="03-02-2026"/>
        <s v="03-03-2026"/>
        <s v="05-01-2026"/>
        <s v="05-03-2026"/>
        <s v="07-06-2026"/>
        <s v="08-06-2026"/>
        <s v="09-03-2026"/>
        <s v="09-06-2026"/>
        <s v="11-05-2026"/>
        <s v="12-05-2026"/>
        <s v="13-02-2026"/>
        <s v="13-08-2026"/>
        <s v="14-04-2026"/>
        <s v="14-08-2026"/>
        <s v="15-02-2026"/>
        <s v="15-03-2026"/>
        <s v="16-04-2026"/>
        <s v="17-05-2026"/>
        <s v="17-08-2026"/>
        <s v="18-01-2026"/>
        <s v="20-01-2026"/>
        <s v="20-08-2026"/>
        <s v="21-06-2026"/>
        <s v="21-07-2026"/>
        <s v="21-08-2026"/>
        <s v="22-01-2026"/>
        <s v="22-04-2026"/>
        <s v="22-06-2026"/>
        <s v="23-02-2026"/>
        <s v="25-03-2026"/>
        <s v="25-04-2026"/>
        <s v="25-05-2026"/>
        <s v="25-07-2026"/>
        <s v="26-05-2026"/>
        <s v="27-02-2026"/>
        <s v="28-07-2026"/>
        <s v="29-03-2026"/>
        <s v="29-04-2026"/>
        <s v="30-03-2026"/>
        <s v="30-05-2026"/>
        <s v="31-05-2026"/>
      </sharedItems>
    </cacheField>
    <cacheField name="[Measures].[Sum of Sales Amount]" caption="Sum of Sales Amount" numFmtId="0" hierarchy="26" level="32767"/>
    <cacheField name="[Table1].[Region].[Region]" caption="Region" numFmtId="0" hierarchy="7" level="1">
      <sharedItems containsSemiMixedTypes="0" containsNonDate="0" containsString="0"/>
    </cacheField>
  </cacheFields>
  <cacheHierarchies count="29">
    <cacheHierarchy uniqueName="[Table1].[Sr. No.]" caption="Sr. No." attribute="1" defaultMemberUniqueName="[Table1].[Sr. No.].[All]" allUniqueName="[Table1].[Sr. No.].[All]" dimensionUniqueName="[Table1]" displayFolder="" count="0" memberValueDatatype="20" unbalanced="0"/>
    <cacheHierarchy uniqueName="[Table1].[Date]" caption="Date" attribute="1" defaultMemberUniqueName="[Table1].[Date].[All]" allUniqueName="[Table1].[Date].[All]" dimensionUniqueName="[Table1]" displayFolder="" count="2" memberValueDatatype="130" unbalanced="0">
      <fieldsUsage count="2">
        <fieldUsage x="-1"/>
        <fieldUsage x="0"/>
      </fieldsUsage>
    </cacheHierarchy>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Measures].[__XL_Count Table1]" caption="__XL_Count Table1" measure="1" displayFolder="" measureGroup="Table1" count="0" hidden="1"/>
    <cacheHierarchy uniqueName="[Measures].[__XL_Count of Models]" caption="__XL_Count of Models"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12"/>
        </ext>
      </extLst>
    </cacheHierarchy>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14"/>
        </ext>
      </extLst>
    </cacheHierarchy>
    <cacheHierarchy uniqueName="[Measures].[Count of Sales Channel]" caption="Count of Sales Channel"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refreshedDate="46271.865670833336" backgroundQuery="1" createdVersion="7" refreshedVersion="8" minRefreshableVersion="3" recordCount="0" supportSubquery="1" supportAdvancedDrill="1" xr:uid="{687A7AE7-E7AF-4A82-A299-2B71CE165274}">
  <cacheSource type="external" connectionId="2"/>
  <cacheFields count="3">
    <cacheField name="[Table1].[Customer Type].[Customer Type]" caption="Customer Type" numFmtId="0" hierarchy="17" level="1">
      <sharedItems count="3">
        <s v="Corporate"/>
        <s v="Retail"/>
        <s v="Wholesale"/>
      </sharedItems>
    </cacheField>
    <cacheField name="[Measures].[Count of Sales Channel]" caption="Count of Sales Channel" numFmtId="0" hierarchy="28" level="32767"/>
    <cacheField name="[Table1].[Region].[Region]" caption="Region" numFmtId="0" hierarchy="7" level="1">
      <sharedItems containsSemiMixedTypes="0" containsNonDate="0" containsString="0"/>
    </cacheField>
  </cacheFields>
  <cacheHierarchies count="29">
    <cacheHierarchy uniqueName="[Table1].[Sr. No.]" caption="Sr. No." attribute="1" defaultMemberUniqueName="[Table1].[Sr. No.].[All]" allUniqueName="[Table1].[Sr. No.].[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0"/>
      </fieldsUsage>
    </cacheHierarchy>
    <cacheHierarchy uniqueName="[Table1].[Sales Channel]" caption="Sales Channel" attribute="1" defaultMemberUniqueName="[Table1].[Sales Channel].[All]" allUniqueName="[Table1].[Sales Channel].[All]" dimensionUniqueName="[Table1]" displayFolder="" count="0" memberValueDatatype="130" unbalanced="0"/>
    <cacheHierarchy uniqueName="[Measures].[__XL_Count Table1]" caption="__XL_Count Table1" measure="1" displayFolder="" measureGroup="Table1" count="0" hidden="1"/>
    <cacheHierarchy uniqueName="[Measures].[__XL_Count of Models]" caption="__XL_Count of Models"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12"/>
        </ext>
      </extLst>
    </cacheHierarchy>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3"/>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14"/>
        </ext>
      </extLst>
    </cacheHierarchy>
    <cacheHierarchy uniqueName="[Measures].[Count of Sales Channel]" caption="Count of Sales Channel"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refreshedDate="46271.865671180552" backgroundQuery="1" createdVersion="5" refreshedVersion="8" minRefreshableVersion="3" recordCount="0" supportSubquery="1" supportAdvancedDrill="1" xr:uid="{00000000-000A-0000-FFFF-FFFF2F000000}">
  <cacheSource type="external" connectionId="2"/>
  <cacheFields count="2">
    <cacheField name="[Measures].[Count of Quantity]" caption="Count of Quantity" numFmtId="0" hierarchy="23" level="32767"/>
    <cacheField name="[Table1].[Region].[Region]" caption="Region" numFmtId="0" hierarchy="7" level="1">
      <sharedItems containsSemiMixedTypes="0" containsNonDate="0" containsString="0"/>
    </cacheField>
  </cacheFields>
  <cacheHierarchies count="29">
    <cacheHierarchy uniqueName="[Table1].[Sr. No.]" caption="Sr. No." attribute="1" defaultMemberUniqueName="[Table1].[Sr. No.].[All]" allUniqueName="[Table1].[Sr. No.].[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Measures].[__XL_Count Table1]" caption="__XL_Count Table1" measure="1" displayFolder="" measureGroup="Table1" count="0" hidden="1"/>
    <cacheHierarchy uniqueName="[Measures].[__XL_Count of Models]" caption="__XL_Count of Models"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12"/>
        </ext>
      </extLst>
    </cacheHierarchy>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3"/>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14"/>
        </ext>
      </extLst>
    </cacheHierarchy>
    <cacheHierarchy uniqueName="[Measures].[Count of Sales Channel]" caption="Count of Sales Channel"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refreshedDate="46271.865671296298" backgroundQuery="1" createdVersion="5" refreshedVersion="8" minRefreshableVersion="3" recordCount="0" supportSubquery="1" supportAdvancedDrill="1" xr:uid="{00000000-000A-0000-FFFF-FFFF2E000000}">
  <cacheSource type="external" connectionId="2"/>
  <cacheFields count="2">
    <cacheField name="[Measures].[Average of Discount %]" caption="Average of Discount %" numFmtId="0" hierarchy="25" level="32767"/>
    <cacheField name="[Table1].[Region].[Region]" caption="Region" numFmtId="0" hierarchy="7" level="1">
      <sharedItems containsSemiMixedTypes="0" containsNonDate="0" containsString="0"/>
    </cacheField>
  </cacheFields>
  <cacheHierarchies count="29">
    <cacheHierarchy uniqueName="[Table1].[Sr. No.]" caption="Sr. No." attribute="1" defaultMemberUniqueName="[Table1].[Sr. No.].[All]" allUniqueName="[Table1].[Sr. No.].[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Measures].[__XL_Count Table1]" caption="__XL_Count Table1" measure="1" displayFolder="" measureGroup="Table1" count="0" hidden="1"/>
    <cacheHierarchy uniqueName="[Measures].[__XL_Count of Models]" caption="__XL_Count of Models"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3"/>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14"/>
        </ext>
      </extLst>
    </cacheHierarchy>
    <cacheHierarchy uniqueName="[Measures].[Count of Sales Channel]" caption="Count of Sales Channel"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refreshedDate="46271.865671412037" backgroundQuery="1" createdVersion="5" refreshedVersion="8" minRefreshableVersion="3" recordCount="0" supportSubquery="1" supportAdvancedDrill="1" xr:uid="{00000000-000A-0000-FFFF-FFFF2D000000}">
  <cacheSource type="external" connectionId="2"/>
  <cacheFields count="2">
    <cacheField name="[Measures].[Sum of Sales Amount]" caption="Sum of Sales Amount" numFmtId="0" hierarchy="26" level="32767"/>
    <cacheField name="[Table1].[Region].[Region]" caption="Region" numFmtId="0" hierarchy="7" level="1">
      <sharedItems containsSemiMixedTypes="0" containsNonDate="0" containsString="0"/>
    </cacheField>
  </cacheFields>
  <cacheHierarchies count="29">
    <cacheHierarchy uniqueName="[Table1].[Sr. No.]" caption="Sr. No." attribute="1" defaultMemberUniqueName="[Table1].[Sr. No.].[All]" allUniqueName="[Table1].[Sr. No.].[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Measures].[__XL_Count Table1]" caption="__XL_Count Table1" measure="1" displayFolder="" measureGroup="Table1" count="0" hidden="1"/>
    <cacheHierarchy uniqueName="[Measures].[__XL_Count of Models]" caption="__XL_Count of Models"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12"/>
        </ext>
      </extLst>
    </cacheHierarchy>
    <cacheHierarchy uniqueName="[Measures].[Sum of Sales Amount]" caption="Sum of Sales Amount"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14"/>
        </ext>
      </extLst>
    </cacheHierarchy>
    <cacheHierarchy uniqueName="[Measures].[Count of Sales Channel]" caption="Count of Sales Channel"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refreshedDate="46271.865671643522" backgroundQuery="1" createdVersion="5" refreshedVersion="8" minRefreshableVersion="3" recordCount="0" supportSubquery="1" supportAdvancedDrill="1" xr:uid="{00000000-000A-0000-FFFF-FFFF33000000}">
  <cacheSource type="external" connectionId="2"/>
  <cacheFields count="2">
    <cacheField name="[Measures].[Sum of Cost]" caption="Sum of Cost" numFmtId="0" hierarchy="27" level="32767"/>
    <cacheField name="[Table1].[Region].[Region]" caption="Region" numFmtId="0" hierarchy="7" level="1">
      <sharedItems containsSemiMixedTypes="0" containsNonDate="0" containsString="0"/>
    </cacheField>
  </cacheFields>
  <cacheHierarchies count="29">
    <cacheHierarchy uniqueName="[Table1].[Sr. No.]" caption="Sr. No." attribute="1" defaultMemberUniqueName="[Table1].[Sr. No.].[All]" allUniqueName="[Table1].[Sr. No.].[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Measures].[__XL_Count Table1]" caption="__XL_Count Table1" measure="1" displayFolder="" measureGroup="Table1" count="0" hidden="1"/>
    <cacheHierarchy uniqueName="[Measures].[__XL_Count of Models]" caption="__XL_Count of Models"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12"/>
        </ext>
      </extLst>
    </cacheHierarchy>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3"/>
        </ext>
      </extLst>
    </cacheHierarchy>
    <cacheHierarchy uniqueName="[Measures].[Sum of Cost]" caption="Sum of Cost"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Sales Channel]" caption="Count of Sales Channel"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refreshedDate="46271.865672106484" backgroundQuery="1" createdVersion="5" refreshedVersion="8" minRefreshableVersion="3" recordCount="0" supportSubquery="1" supportAdvancedDrill="1" xr:uid="{00000000-000A-0000-FFFF-FFFF3E000000}">
  <cacheSource type="external" connectionId="2"/>
  <cacheFields count="3">
    <cacheField name="[Table1].[Region].[Region]" caption="Region" numFmtId="0" hierarchy="7" level="1">
      <sharedItems count="1">
        <s v="North"/>
      </sharedItems>
    </cacheField>
    <cacheField name="[Measures].[Sum of Profit]" caption="Sum of Profit" numFmtId="0" hierarchy="21" level="32767"/>
    <cacheField name="[Table1].[Category].[Category]" caption="Category" numFmtId="0" hierarchy="9" level="1">
      <sharedItems count="3">
        <s v="Accessories"/>
        <s v="Electronics"/>
        <s v="Furniture"/>
      </sharedItems>
    </cacheField>
  </cacheFields>
  <cacheHierarchies count="29">
    <cacheHierarchy uniqueName="[Table1].[Sr. No.]" caption="Sr. No." attribute="1" defaultMemberUniqueName="[Table1].[Sr. No.].[All]" allUniqueName="[Table1].[Sr. No.].[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Measures].[__XL_Count Table1]" caption="__XL_Count Table1" measure="1" displayFolder="" measureGroup="Table1" count="0" hidden="1"/>
    <cacheHierarchy uniqueName="[Measures].[__XL_Count of Models]" caption="__XL_Count of Models"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12"/>
        </ext>
      </extLst>
    </cacheHierarchy>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3"/>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14"/>
        </ext>
      </extLst>
    </cacheHierarchy>
    <cacheHierarchy uniqueName="[Measures].[Count of Sales Channel]" caption="Count of Sales Channel"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refreshedDate="46271.865672800923" backgroundQuery="1" createdVersion="5" refreshedVersion="8" minRefreshableVersion="3" recordCount="0" supportSubquery="1" supportAdvancedDrill="1" xr:uid="{00000000-000A-0000-FFFF-FFFF49000000}">
  <cacheSource type="external" connectionId="2"/>
  <cacheFields count="4">
    <cacheField name="[Table1].[Product].[Product]" caption="Product" numFmtId="0" hierarchy="8" level="1">
      <sharedItems count="12">
        <s v="Bookshelf"/>
        <s v="Desk"/>
        <s v="Headphones"/>
        <s v="Keyboard"/>
        <s v="Laptop"/>
        <s v="Mobile"/>
        <s v="Monitor"/>
        <s v="Mouse"/>
        <s v="Office Chair"/>
        <s v="Printer"/>
        <s v="Tablet"/>
        <s v="Webcam"/>
      </sharedItems>
    </cacheField>
    <cacheField name="[Measures].[Sum of Cost]" caption="Sum of Cost" numFmtId="0" hierarchy="27" level="32767"/>
    <cacheField name="[Measures].[Sum of Discount %]" caption="Sum of Discount %" numFmtId="0" hierarchy="24" level="32767"/>
    <cacheField name="[Table1].[Region].[Region]" caption="Region" numFmtId="0" hierarchy="7" level="1">
      <sharedItems containsSemiMixedTypes="0" containsNonDate="0" containsString="0"/>
    </cacheField>
  </cacheFields>
  <cacheHierarchies count="29">
    <cacheHierarchy uniqueName="[Table1].[Sr. No.]" caption="Sr. No." attribute="1" defaultMemberUniqueName="[Table1].[Sr. No.].[All]" allUniqueName="[Table1].[Sr. No.].[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Measures].[__XL_Count Table1]" caption="__XL_Count Table1" measure="1" displayFolder="" measureGroup="Table1" count="0" hidden="1"/>
    <cacheHierarchy uniqueName="[Measures].[__XL_Count of Models]" caption="__XL_Count of Models"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0"/>
        </ext>
      </extLst>
    </cacheHierarchy>
    <cacheHierarchy uniqueName="[Measures].[Sum of Discount %]" caption="Sum of Discount %"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12"/>
        </ext>
      </extLst>
    </cacheHierarchy>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3"/>
        </ext>
      </extLst>
    </cacheHierarchy>
    <cacheHierarchy uniqueName="[Measures].[Sum of Cost]" caption="Sum of Cost"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Sales Channel]" caption="Count of Sales Channel"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refreshedDate="46271.865673379631" backgroundQuery="1" createdVersion="7" refreshedVersion="8" minRefreshableVersion="3" recordCount="0" supportSubquery="1" supportAdvancedDrill="1" xr:uid="{099B8628-2FE2-4DE9-90EC-EE8A2CD4FDBB}">
  <cacheSource type="external" connectionId="2"/>
  <cacheFields count="3">
    <cacheField name="[Table1].[Product].[Product]" caption="Product" numFmtId="0" hierarchy="8" level="1">
      <sharedItems count="12">
        <s v="Bookshelf"/>
        <s v="Desk"/>
        <s v="Headphones"/>
        <s v="Keyboard"/>
        <s v="Laptop"/>
        <s v="Mobile"/>
        <s v="Monitor"/>
        <s v="Mouse"/>
        <s v="Office Chair"/>
        <s v="Printer"/>
        <s v="Tablet"/>
        <s v="Webcam"/>
      </sharedItems>
    </cacheField>
    <cacheField name="[Measures].[Sum of Cost]" caption="Sum of Cost" numFmtId="0" hierarchy="27" level="32767"/>
    <cacheField name="[Table1].[Region].[Region]" caption="Region" numFmtId="0" hierarchy="7" level="1">
      <sharedItems containsSemiMixedTypes="0" containsNonDate="0" containsString="0"/>
    </cacheField>
  </cacheFields>
  <cacheHierarchies count="29">
    <cacheHierarchy uniqueName="[Table1].[Sr. No.]" caption="Sr. No." attribute="1" defaultMemberUniqueName="[Table1].[Sr. No.].[All]" allUniqueName="[Table1].[Sr. No.].[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Measures].[__XL_Count Table1]" caption="__XL_Count Table1" measure="1" displayFolder="" measureGroup="Table1" count="0" hidden="1"/>
    <cacheHierarchy uniqueName="[Measures].[__XL_Count of Models]" caption="__XL_Count of Models"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12"/>
        </ext>
      </extLst>
    </cacheHierarchy>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3"/>
        </ext>
      </extLst>
    </cacheHierarchy>
    <cacheHierarchy uniqueName="[Measures].[Sum of Cost]" caption="Sum of Cost"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Sales Channel]" caption="Count of Sales Channel"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refreshedDate="46271.865673958331" backgroundQuery="1" createdVersion="7" refreshedVersion="8" minRefreshableVersion="3" recordCount="0" supportSubquery="1" supportAdvancedDrill="1" xr:uid="{E6691D79-33B9-42D5-BE16-244A935D15E1}">
  <cacheSource type="external" connectionId="2"/>
  <cacheFields count="4">
    <cacheField name="[Table1].[Category].[Category]" caption="Category" numFmtId="0" hierarchy="9" level="1">
      <sharedItems count="1">
        <s v="Accessories"/>
      </sharedItems>
    </cacheField>
    <cacheField name="[Measures].[Sum of Discount %]" caption="Sum of Discount %" numFmtId="0" hierarchy="24" level="32767"/>
    <cacheField name="[Table1].[Product].[Product]" caption="Product" numFmtId="0" hierarchy="8" level="1">
      <sharedItems count="4">
        <s v="Headphones"/>
        <s v="Keyboard"/>
        <s v="Mouse"/>
        <s v="Webcam"/>
      </sharedItems>
    </cacheField>
    <cacheField name="[Table1].[Region].[Region]" caption="Region" numFmtId="0" hierarchy="7" level="1">
      <sharedItems containsSemiMixedTypes="0" containsNonDate="0" containsString="0"/>
    </cacheField>
  </cacheFields>
  <cacheHierarchies count="29">
    <cacheHierarchy uniqueName="[Table1].[Sr. No.]" caption="Sr. No." attribute="1" defaultMemberUniqueName="[Table1].[Sr. No.].[All]" allUniqueName="[Table1].[Sr. No.].[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Measures].[__XL_Count Table1]" caption="__XL_Count Table1" measure="1" displayFolder="" measureGroup="Table1" count="0" hidden="1"/>
    <cacheHierarchy uniqueName="[Measures].[__XL_Count of Models]" caption="__XL_Count of Models"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0"/>
        </ext>
      </extLst>
    </cacheHierarchy>
    <cacheHierarchy uniqueName="[Measures].[Sum of Discount %]" caption="Sum of Discount %"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12"/>
        </ext>
      </extLst>
    </cacheHierarchy>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3"/>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14"/>
        </ext>
      </extLst>
    </cacheHierarchy>
    <cacheHierarchy uniqueName="[Measures].[Count of Sales Channel]" caption="Count of Sales Channel"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refreshedDate="46262.689507175928" backgroundQuery="1" createdVersion="3" refreshedVersion="7" minRefreshableVersion="3" recordCount="0" supportSubquery="1" supportAdvancedDrill="1" xr:uid="{9222071F-C9A6-46FB-950B-6B5BFEF7101C}">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Table1].[Sr. No.]" caption="Sr. No." attribute="1" defaultMemberUniqueName="[Table1].[Sr. No.].[All]" allUniqueName="[Table1].[Sr. No.].[All]" dimensionUniqueName="[Table1]" displayFolder="" count="2" memberValueDatatype="20" unbalanced="0"/>
    <cacheHierarchy uniqueName="[Table1].[Date]" caption="Date" attribute="1" defaultMemberUniqueName="[Table1].[Date].[All]" allUniqueName="[Table1].[Date].[All]" dimensionUniqueName="[Table1]" displayFolder="" count="2" memberValueDatatype="130" unbalanced="0"/>
    <cacheHierarchy uniqueName="[Table1].[Order ID]" caption="Order ID" attribute="1" defaultMemberUniqueName="[Table1].[Order ID].[All]" allUniqueName="[Table1].[Ord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Discount %]" caption="Discount %" attribute="1" defaultMemberUniqueName="[Table1].[Discount %].[All]" allUniqueName="[Table1].[Discount %].[All]" dimensionUniqueName="[Table1]" displayFolder="" count="2" memberValueDatatype="20" unbalanced="0"/>
    <cacheHierarchy uniqueName="[Table1].[Sales Amount]" caption="Sales Amount" attribute="1" defaultMemberUniqueName="[Table1].[Sales Amount].[All]" allUniqueName="[Table1].[Sales Amount].[All]" dimensionUniqueName="[Table1]" displayFolder="" count="2" memberValueDatatype="20" unbalanced="0"/>
    <cacheHierarchy uniqueName="[Table1].[Cost]" caption="Cost" attribute="1" defaultMemberUniqueName="[Table1].[Cost].[All]" allUniqueName="[Table1].[Cost].[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20" unbalanced="0"/>
    <cacheHierarchy uniqueName="[Table1].[Payment Mode]" caption="Payment Mode" attribute="1" defaultMemberUniqueName="[Table1].[Payment Mode].[All]" allUniqueName="[Table1].[Payment Mode].[All]" dimensionUniqueName="[Table1]" displayFolder="" count="2" memberValueDatatype="13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Measures].[Sum of Profit]" caption="Sum of Profit" measure="1" displayFolder="" measureGroup="Table1"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10"/>
        </ext>
      </extLst>
    </cacheHierarchy>
    <cacheHierarchy uniqueName="[Measures].[Sum of Discount %]" caption="Sum of Discount %" measure="1" displayFolder="" measureGroup="Table1" count="0">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Table1" count="0">
      <extLst>
        <ext xmlns:x15="http://schemas.microsoft.com/office/spreadsheetml/2010/11/main" uri="{B97F6D7D-B522-45F9-BDA1-12C45D357490}">
          <x15:cacheHierarchy aggregatedColumn="12"/>
        </ext>
      </extLst>
    </cacheHierarchy>
    <cacheHierarchy uniqueName="[Measures].[Sum of Sales Amount]" caption="Sum of Sales Amount" measure="1" displayFolder="" measureGroup="Table1" count="0">
      <extLst>
        <ext xmlns:x15="http://schemas.microsoft.com/office/spreadsheetml/2010/11/main" uri="{B97F6D7D-B522-45F9-BDA1-12C45D357490}">
          <x15:cacheHierarchy aggregatedColumn="13"/>
        </ext>
      </extLst>
    </cacheHierarchy>
    <cacheHierarchy uniqueName="[Measures].[Sum of Cost]" caption="Sum of Cost" measure="1" displayFolder="" measureGroup="Table1" count="0">
      <extLst>
        <ext xmlns:x15="http://schemas.microsoft.com/office/spreadsheetml/2010/11/main" uri="{B97F6D7D-B522-45F9-BDA1-12C45D357490}">
          <x15:cacheHierarchy aggregatedColumn="14"/>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8907974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177"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15:A16" firstHeaderRow="1" firstDataRow="1" firstDataCol="0"/>
  <pivotFields count="2">
    <pivotField dataField="1" showAll="0"/>
    <pivotField allDrilled="1" showAll="0" dataSourceSort="1" defaultAttributeDrillState="1"/>
  </pivotFields>
  <rowItems count="1">
    <i/>
  </rowItems>
  <colItems count="1">
    <i/>
  </colItems>
  <dataFields count="1">
    <dataField name="Sum of Sales Amount" fld="0" baseField="0" baseItem="0" numFmtId="165"/>
  </dataFields>
  <formats count="1">
    <format dxfId="15">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Nort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_200_Rows.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9D9F96-2664-42E3-84BB-47FEA83E0563}" name="PivotTable12" cacheId="16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4">
  <location ref="F144:G14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ales Channel"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Nort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_2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986E06-CD86-4C43-A2B3-53ACAB8246D5}" name="PivotTable8" cacheId="18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A68:B8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Cost" fld="1" baseField="0" baseItem="0"/>
  </dataFields>
  <chartFormats count="1">
    <chartFormat chart="0" format="4"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Nort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_2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59"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location ref="A3:A4" firstHeaderRow="1" firstDataRow="1" firstDataCol="0"/>
  <pivotFields count="2">
    <pivotField dataField="1" showAll="0"/>
    <pivotField allDrilled="1" showAll="0" dataSourceSort="1" defaultAttributeDrillState="1"/>
  </pivotFields>
  <rowItems count="1">
    <i/>
  </rowItems>
  <colItems count="1">
    <i/>
  </colItems>
  <dataFields count="1">
    <dataField name="Sum of Profit" fld="0" baseField="0" baseItem="0" numFmtId="165"/>
  </dataFields>
  <formats count="1">
    <format dxfId="16">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Nort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_200_Rows.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18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19:A20" firstHeaderRow="1" firstDataRow="1" firstDataCol="0"/>
  <pivotFields count="2">
    <pivotField dataField="1" showAll="0"/>
    <pivotField allDrilled="1" showAll="0" dataSourceSort="1" defaultAttributeDrillState="1"/>
  </pivotFields>
  <rowItems count="1">
    <i/>
  </rowItems>
  <colItems count="1">
    <i/>
  </colItems>
  <dataFields count="1">
    <dataField name="Sum of Cost" fld="0" baseField="0" baseItem="0" numFmtId="165"/>
  </dataFields>
  <formats count="1">
    <format dxfId="17">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Nort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_200_Rows.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CBF1DF-4B00-4643-A51B-63FEF31A634B}" name="PivotTable11" cacheId="16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29:B172" firstHeaderRow="1" firstDataRow="1" firstDataCol="1"/>
  <pivotFields count="3">
    <pivotField axis="axisRow" allDrilled="1" subtotalTop="0" showAll="0" dataSourceSort="1"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subtotalTop="0" showAll="0" defaultSubtotal="0"/>
    <pivotField allDrilled="1" subtotalTop="0" showAll="0" dataSourceSort="1" defaultSubtotal="0" defaultAttributeDrillState="1"/>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Sum of Sales Amount" fld="1" baseField="0" baseItem="0"/>
  </dataFields>
  <pivotHierarchies count="29">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Nort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_2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36F4DA-7BE8-4FA0-9651-980365C99118}" name="PivotTable9" cacheId="192"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4">
  <location ref="A87:B96"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0"/>
  </rowFields>
  <rowItems count="9">
    <i>
      <x/>
    </i>
    <i r="1">
      <x/>
    </i>
    <i>
      <x v="1"/>
    </i>
    <i r="1">
      <x/>
    </i>
    <i>
      <x v="2"/>
    </i>
    <i r="1">
      <x/>
    </i>
    <i>
      <x v="3"/>
    </i>
    <i r="1">
      <x/>
    </i>
    <i t="grand">
      <x/>
    </i>
  </rowItems>
  <colItems count="1">
    <i/>
  </colItems>
  <dataFields count="1">
    <dataField name="Sum of Discount %" fld="1" baseField="0" baseItem="0"/>
  </dataFields>
  <chartFormats count="15">
    <chartFormat chart="1" format="0"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0" count="1" selected="0">
            <x v="0"/>
          </reference>
          <reference field="2" count="1" selected="0">
            <x v="0"/>
          </reference>
        </references>
      </pivotArea>
    </chartFormat>
    <chartFormat chart="1" format="2">
      <pivotArea type="data" outline="0" fieldPosition="0">
        <references count="3">
          <reference field="4294967294" count="1" selected="0">
            <x v="0"/>
          </reference>
          <reference field="0" count="1" selected="0">
            <x v="0"/>
          </reference>
          <reference field="2" count="1" selected="0">
            <x v="1"/>
          </reference>
        </references>
      </pivotArea>
    </chartFormat>
    <chartFormat chart="1" format="3">
      <pivotArea type="data" outline="0" fieldPosition="0">
        <references count="3">
          <reference field="4294967294" count="1" selected="0">
            <x v="0"/>
          </reference>
          <reference field="0" count="1" selected="0">
            <x v="0"/>
          </reference>
          <reference field="2" count="1" selected="0">
            <x v="2"/>
          </reference>
        </references>
      </pivotArea>
    </chartFormat>
    <chartFormat chart="1" format="4">
      <pivotArea type="data" outline="0" fieldPosition="0">
        <references count="3">
          <reference field="4294967294" count="1" selected="0">
            <x v="0"/>
          </reference>
          <reference field="0" count="1" selected="0">
            <x v="0"/>
          </reference>
          <reference field="2"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3">
          <reference field="4294967294" count="1" selected="0">
            <x v="0"/>
          </reference>
          <reference field="0" count="1" selected="0">
            <x v="0"/>
          </reference>
          <reference field="2" count="1" selected="0">
            <x v="0"/>
          </reference>
        </references>
      </pivotArea>
    </chartFormat>
    <chartFormat chart="4" format="12">
      <pivotArea type="data" outline="0" fieldPosition="0">
        <references count="3">
          <reference field="4294967294" count="1" selected="0">
            <x v="0"/>
          </reference>
          <reference field="0" count="1" selected="0">
            <x v="0"/>
          </reference>
          <reference field="2" count="1" selected="0">
            <x v="1"/>
          </reference>
        </references>
      </pivotArea>
    </chartFormat>
    <chartFormat chart="4" format="13">
      <pivotArea type="data" outline="0" fieldPosition="0">
        <references count="3">
          <reference field="4294967294" count="1" selected="0">
            <x v="0"/>
          </reference>
          <reference field="0" count="1" selected="0">
            <x v="0"/>
          </reference>
          <reference field="2" count="1" selected="0">
            <x v="2"/>
          </reference>
        </references>
      </pivotArea>
    </chartFormat>
    <chartFormat chart="4" format="14">
      <pivotArea type="data" outline="0" fieldPosition="0">
        <references count="3">
          <reference field="4294967294" count="1" selected="0">
            <x v="0"/>
          </reference>
          <reference field="0" count="1" selected="0">
            <x v="0"/>
          </reference>
          <reference field="2"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3">
          <reference field="4294967294" count="1" selected="0">
            <x v="0"/>
          </reference>
          <reference field="0" count="1" selected="0">
            <x v="0"/>
          </reference>
          <reference field="2" count="1" selected="0">
            <x v="0"/>
          </reference>
        </references>
      </pivotArea>
    </chartFormat>
    <chartFormat chart="6" format="12">
      <pivotArea type="data" outline="0" fieldPosition="0">
        <references count="3">
          <reference field="4294967294" count="1" selected="0">
            <x v="0"/>
          </reference>
          <reference field="0" count="1" selected="0">
            <x v="0"/>
          </reference>
          <reference field="2" count="1" selected="0">
            <x v="1"/>
          </reference>
        </references>
      </pivotArea>
    </chartFormat>
    <chartFormat chart="6" format="13">
      <pivotArea type="data" outline="0" fieldPosition="0">
        <references count="3">
          <reference field="4294967294" count="1" selected="0">
            <x v="0"/>
          </reference>
          <reference field="0" count="1" selected="0">
            <x v="0"/>
          </reference>
          <reference field="2" count="1" selected="0">
            <x v="2"/>
          </reference>
        </references>
      </pivotArea>
    </chartFormat>
    <chartFormat chart="6" format="14">
      <pivotArea type="data" outline="0" fieldPosition="0">
        <references count="3">
          <reference field="4294967294" count="1" selected="0">
            <x v="0"/>
          </reference>
          <reference field="0" count="1" selected="0">
            <x v="0"/>
          </reference>
          <reference field="2" count="1" selected="0">
            <x v="3"/>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Nort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_2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7" cacheId="186"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9">
  <location ref="A49:C62" firstHeaderRow="0" firstDataRow="1" firstDataCol="1"/>
  <pivotFields count="4">
    <pivotField axis="axisRow" allDrilled="1" showAll="0" dataSourceSort="1" defaultAttributeDrillState="1">
      <items count="13">
        <item x="0"/>
        <item x="1"/>
        <item x="2"/>
        <item x="3"/>
        <item x="4"/>
        <item x="5"/>
        <item x="6"/>
        <item x="7"/>
        <item x="8"/>
        <item x="9"/>
        <item x="10"/>
        <item x="11"/>
        <item t="default"/>
      </items>
    </pivotField>
    <pivotField dataField="1" showAll="0"/>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Cost" fld="1" baseField="0" baseItem="0"/>
    <dataField name="Sum of Discount %"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Nort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_200_Rows.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17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7:A8" firstHeaderRow="1" firstDataRow="1" firstDataCol="0"/>
  <pivotFields count="2">
    <pivotField dataField="1" showAll="0"/>
    <pivotField allDrilled="1" showAll="0" dataSourceSort="1" defaultAttributeDrillState="1"/>
  </pivotFields>
  <rowItems count="1">
    <i/>
  </rowItems>
  <colItems count="1">
    <i/>
  </colItems>
  <dataFields count="1">
    <dataField name="Count of Quantity" fld="0" subtotal="count" baseField="0" baseItem="0"/>
  </dataFields>
  <pivotHierarchies count="29">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Nort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_200_Rows.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86F6EC-56FB-4D9C-B78E-A1F82BC6627E}" name="PivotTable10" cacheId="162"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1">
  <location ref="A104:B111"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2">
    <field x="0"/>
    <field x="1"/>
  </rowFields>
  <rowItems count="7">
    <i>
      <x/>
    </i>
    <i r="1">
      <x/>
    </i>
    <i>
      <x v="1"/>
    </i>
    <i r="1">
      <x v="1"/>
    </i>
    <i>
      <x v="2"/>
    </i>
    <i r="1">
      <x v="2"/>
    </i>
    <i t="grand">
      <x/>
    </i>
  </rowItems>
  <colItems count="1">
    <i/>
  </colItems>
  <dataFields count="1">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Nort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_2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6" cacheId="18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0">
  <location ref="A24:B29" firstHeaderRow="1" firstDataRow="1" firstDataCol="1"/>
  <pivotFields count="3">
    <pivotField axis="axisRow" allDrilled="1" showAll="0" dataSourceSort="1" defaultAttributeDrillState="1">
      <items count="2">
        <item s="1" x="0"/>
        <item t="default"/>
      </items>
    </pivotField>
    <pivotField dataField="1" showAll="0"/>
    <pivotField axis="axisRow" allDrilled="1" showAll="0" dataSourceSort="1" defaultAttributeDrillState="1">
      <items count="4">
        <item x="0"/>
        <item x="1"/>
        <item x="2"/>
        <item t="default"/>
      </items>
    </pivotField>
  </pivotFields>
  <rowFields count="2">
    <field x="0"/>
    <field x="2"/>
  </rowFields>
  <rowItems count="5">
    <i>
      <x/>
    </i>
    <i r="1">
      <x/>
    </i>
    <i r="1">
      <x v="1"/>
    </i>
    <i r="1">
      <x v="2"/>
    </i>
    <i t="grand">
      <x/>
    </i>
  </rowItems>
  <colItems count="1">
    <i/>
  </colItems>
  <dataFields count="1">
    <dataField name="Sum of Profit" fld="1" baseField="0" baseItem="0"/>
  </dataFields>
  <chartFormats count="4">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_200_Rows.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174"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11:A12"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Discount %" fld="0" subtotal="average" baseField="0" baseItem="0"/>
  </dataFields>
  <pivotHierarchies count="29">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Nort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_200_Rows.xlsx!Table1">
        <x15:activeTabTopLevelEntity name="[Table1]"/>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AF9E5B6-C047-498E-9A49-1B1C6E15D319}" autoFormatId="16" applyNumberFormats="0" applyBorderFormats="0" applyFontFormats="0" applyPatternFormats="0" applyAlignmentFormats="0" applyWidthHeightFormats="0">
  <queryTableRefresh nextId="20">
    <queryTableFields count="19">
      <queryTableField id="1" name="Table1[Sr. No.]" tableColumnId="1"/>
      <queryTableField id="2" name="Table1[Date]" tableColumnId="2"/>
      <queryTableField id="3" name="Table1[Order ID]" tableColumnId="3"/>
      <queryTableField id="4" name="Table1[Customer Name]" tableColumnId="4"/>
      <queryTableField id="5" name="Table1[Salesperson]" tableColumnId="5"/>
      <queryTableField id="6" name="Table1[State]" tableColumnId="6"/>
      <queryTableField id="7" name="Table1[City]" tableColumnId="7"/>
      <queryTableField id="8" name="Table1[Region]" tableColumnId="8"/>
      <queryTableField id="9" name="Table1[Product]" tableColumnId="9"/>
      <queryTableField id="10" name="Table1[Category]" tableColumnId="10"/>
      <queryTableField id="11" name="Table1[Quantity]" tableColumnId="11"/>
      <queryTableField id="12" name="Table1[Unit Price]" tableColumnId="12"/>
      <queryTableField id="13" name="Table1[Discount %]" tableColumnId="13"/>
      <queryTableField id="14" name="Table1[Sales Amount]" tableColumnId="14"/>
      <queryTableField id="15" name="Table1[Cost]" tableColumnId="15"/>
      <queryTableField id="16" name="Table1[Profit]" tableColumnId="16"/>
      <queryTableField id="17" name="Table1[Payment Mode]" tableColumnId="17"/>
      <queryTableField id="18" name="Table1[Customer Type]" tableColumnId="18"/>
      <queryTableField id="19" name="Table1[Sales Channel]" tableColumnId="1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6465DAE-F2DB-47A3-8FDF-426B5C408D61}" sourceName="[Table1].[Product]">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s>
  <data>
    <olap pivotCacheId="890797475">
      <levels count="2">
        <level uniqueName="[Table1].[Product].[(All)]" sourceCaption="(All)" count="0"/>
        <level uniqueName="[Table1].[Product].[Product]" sourceCaption="Product" count="12">
          <ranges>
            <range startItem="0">
              <i n="[Table1].[Product].&amp;[Bookshelf]" c="Bookshelf"/>
              <i n="[Table1].[Product].&amp;[Desk]" c="Desk"/>
              <i n="[Table1].[Product].&amp;[Headphones]" c="Headphones"/>
              <i n="[Table1].[Product].&amp;[Keyboard]" c="Keyboard"/>
              <i n="[Table1].[Product].&amp;[Laptop]" c="Laptop"/>
              <i n="[Table1].[Product].&amp;[Mobile]" c="Mobile"/>
              <i n="[Table1].[Product].&amp;[Monitor]" c="Monitor"/>
              <i n="[Table1].[Product].&amp;[Mouse]" c="Mouse"/>
              <i n="[Table1].[Product].&amp;[Office Chair]" c="Office Chair"/>
              <i n="[Table1].[Product].&amp;[Printer]" c="Printer"/>
              <i n="[Table1].[Product].&amp;[Tablet]" c="Tablet"/>
              <i n="[Table1].[Product].&amp;[Webcam]" c="Webcam"/>
            </range>
          </ranges>
        </level>
      </levels>
      <selections count="1">
        <selection n="[Table1].[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594539-310A-409C-9F12-C948F1528F45}" sourceName="[Table1].[Region]">
  <pivotTables>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890797475">
      <levels count="2">
        <level uniqueName="[Table1].[Region].[(All)]" sourceCaption="(All)" count="0"/>
        <level uniqueName="[Table1].[Region].[Region]" sourceCaption="Region" count="5">
          <ranges>
            <range startItem="0">
              <i n="[Table1].[Region].&amp;[Central]" c="Central"/>
              <i n="[Table1].[Region].&amp;[East]" c="East"/>
              <i n="[Table1].[Region].&amp;[North]" c="North"/>
              <i n="[Table1].[Region].&amp;[South]" c="South"/>
              <i n="[Table1].[Region].&amp;[West]" c="West"/>
            </range>
          </ranges>
        </level>
      </levels>
      <selections count="1">
        <selection n="[Table1].[Region].&amp;[North]"/>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2E19872-C006-4143-A372-70EBBD89FE51}" cache="Slicer_Product" caption="Product" level="1" rowHeight="234950"/>
  <slicer name="Region" xr10:uid="{C57FF9CC-0CA4-45FB-BBDD-92CDE94FF38B}" cache="Slicer_Region" caption="Reg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FBE93364-44A9-46D0-BF19-3079572F787C}" cache="Slicer_Region" caption="Region" level="1" style="SlicerStyleDark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201" totalsRowShown="0" headerRowDxfId="26" headerRowBorderDxfId="25" tableBorderDxfId="24">
  <autoFilter ref="A1:S201" xr:uid="{00000000-0009-0000-0100-000001000000}"/>
  <tableColumns count="19">
    <tableColumn id="1" xr3:uid="{00000000-0010-0000-0000-000001000000}" name="Sr. No."/>
    <tableColumn id="2" xr3:uid="{00000000-0010-0000-0000-000002000000}" name="Date"/>
    <tableColumn id="3" xr3:uid="{00000000-0010-0000-0000-000003000000}" name="Order ID"/>
    <tableColumn id="4" xr3:uid="{00000000-0010-0000-0000-000004000000}" name="Customer Name"/>
    <tableColumn id="5" xr3:uid="{00000000-0010-0000-0000-000005000000}" name="Salesperson"/>
    <tableColumn id="6" xr3:uid="{00000000-0010-0000-0000-000006000000}" name="State"/>
    <tableColumn id="7" xr3:uid="{00000000-0010-0000-0000-000007000000}" name="City"/>
    <tableColumn id="8" xr3:uid="{00000000-0010-0000-0000-000008000000}" name="Region"/>
    <tableColumn id="9" xr3:uid="{00000000-0010-0000-0000-000009000000}" name="Product"/>
    <tableColumn id="10" xr3:uid="{00000000-0010-0000-0000-00000A000000}" name="Category"/>
    <tableColumn id="11" xr3:uid="{00000000-0010-0000-0000-00000B000000}" name="Quantity" dataDxfId="23"/>
    <tableColumn id="12" xr3:uid="{00000000-0010-0000-0000-00000C000000}" name="Unit Price" dataDxfId="22"/>
    <tableColumn id="13" xr3:uid="{00000000-0010-0000-0000-00000D000000}" name="Discount %" dataDxfId="21"/>
    <tableColumn id="14" xr3:uid="{00000000-0010-0000-0000-00000E000000}" name="Sales Amount" dataDxfId="20"/>
    <tableColumn id="15" xr3:uid="{00000000-0010-0000-0000-00000F000000}" name="Cost" dataDxfId="19"/>
    <tableColumn id="16" xr3:uid="{00000000-0010-0000-0000-000010000000}" name="Profit" dataDxfId="18"/>
    <tableColumn id="17" xr3:uid="{00000000-0010-0000-0000-000011000000}" name="Payment Mode"/>
    <tableColumn id="18" xr3:uid="{00000000-0010-0000-0000-000012000000}" name="Customer Type"/>
    <tableColumn id="19" xr3:uid="{00000000-0010-0000-0000-000013000000}" name="Sales Channel"/>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E317D7-A0BC-4705-B4C8-62F88D899478}" name="Table_ExternalData_1" displayName="Table_ExternalData_1" ref="A3:S24" tableType="queryTable" totalsRowShown="0">
  <autoFilter ref="A3:S24" xr:uid="{C1E317D7-A0BC-4705-B4C8-62F88D899478}"/>
  <tableColumns count="19">
    <tableColumn id="1" xr3:uid="{D186C08F-D168-4D7E-8FD5-07660A4B6BE9}" uniqueName="1" name="Table1[Sr. No.]" queryTableFieldId="1"/>
    <tableColumn id="2" xr3:uid="{E226855C-4951-4765-99B1-39C0057F718E}" uniqueName="2" name="Table1[Date]" queryTableFieldId="2"/>
    <tableColumn id="3" xr3:uid="{F036E1B7-CA3C-43C7-BCC3-C27246FA4A73}" uniqueName="3" name="Table1[Order ID]" queryTableFieldId="3"/>
    <tableColumn id="4" xr3:uid="{4438B068-EAA2-490B-96C1-95F9D4F187E1}" uniqueName="4" name="Table1[Customer Name]" queryTableFieldId="4"/>
    <tableColumn id="5" xr3:uid="{4D3D4BE0-56B2-4D32-905A-C6C2CD6AB02F}" uniqueName="5" name="Table1[Salesperson]" queryTableFieldId="5"/>
    <tableColumn id="6" xr3:uid="{C1362E98-F063-4FD2-9E3D-9BA84B3E393C}" uniqueName="6" name="Table1[State]" queryTableFieldId="6"/>
    <tableColumn id="7" xr3:uid="{E87A558F-95F4-4BC5-888B-796B3BC91E8F}" uniqueName="7" name="Table1[City]" queryTableFieldId="7"/>
    <tableColumn id="8" xr3:uid="{6BB699B4-312F-416A-A0B9-7C2740EC2B55}" uniqueName="8" name="Table1[Region]" queryTableFieldId="8"/>
    <tableColumn id="9" xr3:uid="{84B664C7-0C23-411F-BDD8-8EEC62957122}" uniqueName="9" name="Table1[Product]" queryTableFieldId="9"/>
    <tableColumn id="10" xr3:uid="{04C44CCD-B7CF-45A4-A659-9AF884CEFBDC}" uniqueName="10" name="Table1[Category]" queryTableFieldId="10"/>
    <tableColumn id="11" xr3:uid="{9CAE6255-9FDF-4103-B72B-1C0D70248698}" uniqueName="11" name="Table1[Quantity]" queryTableFieldId="11"/>
    <tableColumn id="12" xr3:uid="{4B32B7EC-1059-4171-A720-011AB9C5B125}" uniqueName="12" name="Table1[Unit Price]" queryTableFieldId="12"/>
    <tableColumn id="13" xr3:uid="{DFCBCB61-8D18-46F0-B38A-38487D67395A}" uniqueName="13" name="Table1[Discount %]" queryTableFieldId="13"/>
    <tableColumn id="14" xr3:uid="{CE8860DB-E12B-4A78-8B20-43759CBB96B4}" uniqueName="14" name="Table1[Sales Amount]" queryTableFieldId="14"/>
    <tableColumn id="15" xr3:uid="{B910CD40-6F5A-4162-9A1C-C5BF55478937}" uniqueName="15" name="Table1[Cost]" queryTableFieldId="15"/>
    <tableColumn id="16" xr3:uid="{B7A0AB86-828F-4D4F-8400-8F5EEFB0F68B}" uniqueName="16" name="Table1[Profit]" queryTableFieldId="16"/>
    <tableColumn id="17" xr3:uid="{3C5FD4A1-BA7A-4915-BCF4-AA31C680639C}" uniqueName="17" name="Table1[Payment Mode]" queryTableFieldId="17"/>
    <tableColumn id="18" xr3:uid="{1D74EDD2-6C51-41A0-9A57-5CEB945CC83E}" uniqueName="18" name="Table1[Customer Type]" queryTableFieldId="18"/>
    <tableColumn id="19" xr3:uid="{3D480633-73CD-4CD1-A0A4-9DEC51E881DB}" uniqueName="19" name="Table1[Sales Channel]" queryTableFieldId="19"/>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1"/>
  <sheetViews>
    <sheetView workbookViewId="0">
      <pane ySplit="1" topLeftCell="A2" activePane="bottomLeft" state="frozen"/>
      <selection pane="bottomLeft" activeCell="R8" sqref="R8"/>
    </sheetView>
  </sheetViews>
  <sheetFormatPr defaultRowHeight="14.4" x14ac:dyDescent="0.3"/>
  <cols>
    <col min="1" max="1" width="10" customWidth="1"/>
    <col min="2" max="2" width="14" customWidth="1"/>
    <col min="3" max="3" width="12" customWidth="1"/>
    <col min="4" max="4" width="16.44140625" customWidth="1"/>
    <col min="5" max="5" width="20" customWidth="1"/>
    <col min="6" max="7" width="15" customWidth="1"/>
    <col min="8" max="8" width="12" customWidth="1"/>
    <col min="9" max="9" width="18" customWidth="1"/>
    <col min="10" max="10" width="16" customWidth="1"/>
    <col min="11" max="11" width="12" customWidth="1"/>
    <col min="12" max="12" width="14" customWidth="1"/>
    <col min="13" max="13" width="12.109375" customWidth="1"/>
    <col min="14" max="14" width="15" customWidth="1"/>
    <col min="15" max="16" width="14" customWidth="1"/>
    <col min="17" max="19" width="16" customWidth="1"/>
  </cols>
  <sheetData>
    <row r="1" spans="1:19"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row>
    <row r="2" spans="1:19" x14ac:dyDescent="0.3">
      <c r="A2">
        <v>1</v>
      </c>
      <c r="B2" t="s">
        <v>19</v>
      </c>
      <c r="C2" t="s">
        <v>20</v>
      </c>
      <c r="D2" t="s">
        <v>21</v>
      </c>
      <c r="E2" t="s">
        <v>22</v>
      </c>
      <c r="F2" t="s">
        <v>23</v>
      </c>
      <c r="G2" t="s">
        <v>24</v>
      </c>
      <c r="H2" t="s">
        <v>25</v>
      </c>
      <c r="I2" t="s">
        <v>26</v>
      </c>
      <c r="J2" t="s">
        <v>27</v>
      </c>
      <c r="K2" s="2">
        <v>12</v>
      </c>
      <c r="L2" s="3">
        <v>55000</v>
      </c>
      <c r="M2" s="2">
        <v>5</v>
      </c>
      <c r="N2" s="3">
        <v>627000</v>
      </c>
      <c r="O2" s="3">
        <v>456000</v>
      </c>
      <c r="P2" s="3">
        <v>171000</v>
      </c>
      <c r="Q2" t="s">
        <v>28</v>
      </c>
      <c r="R2" t="s">
        <v>29</v>
      </c>
      <c r="S2" t="s">
        <v>30</v>
      </c>
    </row>
    <row r="3" spans="1:19" x14ac:dyDescent="0.3">
      <c r="A3">
        <v>2</v>
      </c>
      <c r="B3" t="s">
        <v>31</v>
      </c>
      <c r="C3" t="s">
        <v>32</v>
      </c>
      <c r="D3" t="s">
        <v>33</v>
      </c>
      <c r="E3" t="s">
        <v>34</v>
      </c>
      <c r="F3" t="s">
        <v>35</v>
      </c>
      <c r="G3" t="s">
        <v>36</v>
      </c>
      <c r="H3" t="s">
        <v>37</v>
      </c>
      <c r="I3" t="s">
        <v>38</v>
      </c>
      <c r="J3" t="s">
        <v>39</v>
      </c>
      <c r="K3" s="2">
        <v>9</v>
      </c>
      <c r="L3" s="3">
        <v>4500</v>
      </c>
      <c r="M3" s="2">
        <v>0</v>
      </c>
      <c r="N3" s="3">
        <v>40500</v>
      </c>
      <c r="O3" s="3">
        <v>23400</v>
      </c>
      <c r="P3" s="3">
        <v>17100</v>
      </c>
      <c r="Q3" t="s">
        <v>40</v>
      </c>
      <c r="R3" t="s">
        <v>29</v>
      </c>
      <c r="S3" t="s">
        <v>41</v>
      </c>
    </row>
    <row r="4" spans="1:19" x14ac:dyDescent="0.3">
      <c r="A4">
        <v>3</v>
      </c>
      <c r="B4" t="s">
        <v>42</v>
      </c>
      <c r="C4" t="s">
        <v>43</v>
      </c>
      <c r="D4" t="s">
        <v>44</v>
      </c>
      <c r="E4" t="s">
        <v>22</v>
      </c>
      <c r="F4" t="s">
        <v>23</v>
      </c>
      <c r="G4" t="s">
        <v>45</v>
      </c>
      <c r="H4" t="s">
        <v>25</v>
      </c>
      <c r="I4" t="s">
        <v>46</v>
      </c>
      <c r="J4" t="s">
        <v>47</v>
      </c>
      <c r="K4" s="2">
        <v>10</v>
      </c>
      <c r="L4" s="3">
        <v>8500</v>
      </c>
      <c r="M4" s="2">
        <v>0</v>
      </c>
      <c r="N4" s="3">
        <v>85000</v>
      </c>
      <c r="O4" s="3">
        <v>56000</v>
      </c>
      <c r="P4" s="3">
        <v>29000</v>
      </c>
      <c r="Q4" t="s">
        <v>48</v>
      </c>
      <c r="R4" t="s">
        <v>49</v>
      </c>
      <c r="S4" t="s">
        <v>41</v>
      </c>
    </row>
    <row r="5" spans="1:19" x14ac:dyDescent="0.3">
      <c r="A5">
        <v>4</v>
      </c>
      <c r="B5" t="s">
        <v>50</v>
      </c>
      <c r="C5" t="s">
        <v>51</v>
      </c>
      <c r="D5" t="s">
        <v>52</v>
      </c>
      <c r="E5" t="s">
        <v>53</v>
      </c>
      <c r="F5" t="s">
        <v>54</v>
      </c>
      <c r="G5" t="s">
        <v>55</v>
      </c>
      <c r="H5" t="s">
        <v>56</v>
      </c>
      <c r="I5" t="s">
        <v>57</v>
      </c>
      <c r="J5" t="s">
        <v>27</v>
      </c>
      <c r="K5" s="2">
        <v>1</v>
      </c>
      <c r="L5" s="3">
        <v>18000</v>
      </c>
      <c r="M5" s="2">
        <v>15</v>
      </c>
      <c r="N5" s="3">
        <v>15300</v>
      </c>
      <c r="O5" s="3">
        <v>12500</v>
      </c>
      <c r="P5" s="3">
        <v>2800</v>
      </c>
      <c r="Q5" t="s">
        <v>58</v>
      </c>
      <c r="R5" t="s">
        <v>49</v>
      </c>
      <c r="S5" t="s">
        <v>59</v>
      </c>
    </row>
    <row r="6" spans="1:19" x14ac:dyDescent="0.3">
      <c r="A6">
        <v>5</v>
      </c>
      <c r="B6" t="s">
        <v>60</v>
      </c>
      <c r="C6" t="s">
        <v>61</v>
      </c>
      <c r="D6" t="s">
        <v>62</v>
      </c>
      <c r="E6" t="s">
        <v>34</v>
      </c>
      <c r="F6" t="s">
        <v>23</v>
      </c>
      <c r="G6" t="s">
        <v>45</v>
      </c>
      <c r="H6" t="s">
        <v>25</v>
      </c>
      <c r="I6" t="s">
        <v>63</v>
      </c>
      <c r="J6" t="s">
        <v>39</v>
      </c>
      <c r="K6" s="2">
        <v>2</v>
      </c>
      <c r="L6" s="3">
        <v>2500</v>
      </c>
      <c r="M6" s="2">
        <v>0</v>
      </c>
      <c r="N6" s="3">
        <v>5000</v>
      </c>
      <c r="O6" s="3">
        <v>2800</v>
      </c>
      <c r="P6" s="3">
        <v>2200</v>
      </c>
      <c r="Q6" t="s">
        <v>40</v>
      </c>
      <c r="R6" t="s">
        <v>49</v>
      </c>
      <c r="S6" t="s">
        <v>59</v>
      </c>
    </row>
    <row r="7" spans="1:19" x14ac:dyDescent="0.3">
      <c r="A7">
        <v>6</v>
      </c>
      <c r="B7" t="s">
        <v>64</v>
      </c>
      <c r="C7" t="s">
        <v>65</v>
      </c>
      <c r="D7" t="s">
        <v>66</v>
      </c>
      <c r="E7" t="s">
        <v>67</v>
      </c>
      <c r="F7" t="s">
        <v>68</v>
      </c>
      <c r="G7" t="s">
        <v>69</v>
      </c>
      <c r="H7" t="s">
        <v>25</v>
      </c>
      <c r="I7" t="s">
        <v>26</v>
      </c>
      <c r="J7" t="s">
        <v>27</v>
      </c>
      <c r="K7" s="2">
        <v>12</v>
      </c>
      <c r="L7" s="3">
        <v>55000</v>
      </c>
      <c r="M7" s="2">
        <v>5</v>
      </c>
      <c r="N7" s="3">
        <v>627000</v>
      </c>
      <c r="O7" s="3">
        <v>456000</v>
      </c>
      <c r="P7" s="3">
        <v>171000</v>
      </c>
      <c r="Q7" t="s">
        <v>58</v>
      </c>
      <c r="R7" t="s">
        <v>29</v>
      </c>
      <c r="S7" t="s">
        <v>30</v>
      </c>
    </row>
    <row r="8" spans="1:19" x14ac:dyDescent="0.3">
      <c r="A8">
        <v>7</v>
      </c>
      <c r="B8" t="s">
        <v>70</v>
      </c>
      <c r="C8" t="s">
        <v>71</v>
      </c>
      <c r="D8" t="s">
        <v>72</v>
      </c>
      <c r="E8" t="s">
        <v>22</v>
      </c>
      <c r="F8" t="s">
        <v>35</v>
      </c>
      <c r="G8" t="s">
        <v>36</v>
      </c>
      <c r="H8" t="s">
        <v>37</v>
      </c>
      <c r="I8" t="s">
        <v>73</v>
      </c>
      <c r="J8" t="s">
        <v>47</v>
      </c>
      <c r="K8" s="2">
        <v>6</v>
      </c>
      <c r="L8" s="3">
        <v>12000</v>
      </c>
      <c r="M8" s="2">
        <v>10</v>
      </c>
      <c r="N8" s="3">
        <v>64800</v>
      </c>
      <c r="O8" s="3">
        <v>48000</v>
      </c>
      <c r="P8" s="3">
        <v>16800</v>
      </c>
      <c r="Q8" t="s">
        <v>40</v>
      </c>
      <c r="R8" t="s">
        <v>29</v>
      </c>
      <c r="S8" t="s">
        <v>30</v>
      </c>
    </row>
    <row r="9" spans="1:19" x14ac:dyDescent="0.3">
      <c r="A9">
        <v>8</v>
      </c>
      <c r="B9" t="s">
        <v>74</v>
      </c>
      <c r="C9" t="s">
        <v>75</v>
      </c>
      <c r="D9" t="s">
        <v>76</v>
      </c>
      <c r="E9" t="s">
        <v>67</v>
      </c>
      <c r="F9" t="s">
        <v>68</v>
      </c>
      <c r="G9" t="s">
        <v>69</v>
      </c>
      <c r="H9" t="s">
        <v>25</v>
      </c>
      <c r="I9" t="s">
        <v>77</v>
      </c>
      <c r="J9" t="s">
        <v>27</v>
      </c>
      <c r="K9" s="2">
        <v>4</v>
      </c>
      <c r="L9" s="3">
        <v>22000</v>
      </c>
      <c r="M9" s="2">
        <v>15</v>
      </c>
      <c r="N9" s="3">
        <v>74800</v>
      </c>
      <c r="O9" s="3">
        <v>62000</v>
      </c>
      <c r="P9" s="3">
        <v>12800</v>
      </c>
      <c r="Q9" t="s">
        <v>58</v>
      </c>
      <c r="R9" t="s">
        <v>49</v>
      </c>
      <c r="S9" t="s">
        <v>59</v>
      </c>
    </row>
    <row r="10" spans="1:19" x14ac:dyDescent="0.3">
      <c r="A10">
        <v>9</v>
      </c>
      <c r="B10" t="s">
        <v>78</v>
      </c>
      <c r="C10" t="s">
        <v>79</v>
      </c>
      <c r="D10" t="s">
        <v>80</v>
      </c>
      <c r="E10" t="s">
        <v>22</v>
      </c>
      <c r="F10" t="s">
        <v>68</v>
      </c>
      <c r="G10" t="s">
        <v>81</v>
      </c>
      <c r="H10" t="s">
        <v>25</v>
      </c>
      <c r="I10" t="s">
        <v>82</v>
      </c>
      <c r="J10" t="s">
        <v>27</v>
      </c>
      <c r="K10" s="2">
        <v>6</v>
      </c>
      <c r="L10" s="3">
        <v>30000</v>
      </c>
      <c r="M10" s="2">
        <v>5</v>
      </c>
      <c r="N10" s="3">
        <v>171000</v>
      </c>
      <c r="O10" s="3">
        <v>126000</v>
      </c>
      <c r="P10" s="3">
        <v>45000</v>
      </c>
      <c r="Q10" t="s">
        <v>83</v>
      </c>
      <c r="R10" t="s">
        <v>84</v>
      </c>
      <c r="S10" t="s">
        <v>30</v>
      </c>
    </row>
    <row r="11" spans="1:19" x14ac:dyDescent="0.3">
      <c r="A11">
        <v>10</v>
      </c>
      <c r="B11" t="s">
        <v>85</v>
      </c>
      <c r="C11" t="s">
        <v>86</v>
      </c>
      <c r="D11" t="s">
        <v>87</v>
      </c>
      <c r="E11" t="s">
        <v>22</v>
      </c>
      <c r="F11" t="s">
        <v>23</v>
      </c>
      <c r="G11" t="s">
        <v>24</v>
      </c>
      <c r="H11" t="s">
        <v>25</v>
      </c>
      <c r="I11" t="s">
        <v>73</v>
      </c>
      <c r="J11" t="s">
        <v>47</v>
      </c>
      <c r="K11" s="2">
        <v>11</v>
      </c>
      <c r="L11" s="3">
        <v>12000</v>
      </c>
      <c r="M11" s="2">
        <v>0</v>
      </c>
      <c r="N11" s="3">
        <v>132000</v>
      </c>
      <c r="O11" s="3">
        <v>88000</v>
      </c>
      <c r="P11" s="3">
        <v>44000</v>
      </c>
      <c r="Q11" t="s">
        <v>28</v>
      </c>
      <c r="R11" t="s">
        <v>49</v>
      </c>
      <c r="S11" t="s">
        <v>59</v>
      </c>
    </row>
    <row r="12" spans="1:19" x14ac:dyDescent="0.3">
      <c r="A12">
        <v>11</v>
      </c>
      <c r="B12" t="s">
        <v>88</v>
      </c>
      <c r="C12" t="s">
        <v>89</v>
      </c>
      <c r="D12" t="s">
        <v>90</v>
      </c>
      <c r="E12" t="s">
        <v>91</v>
      </c>
      <c r="F12" t="s">
        <v>35</v>
      </c>
      <c r="G12" t="s">
        <v>36</v>
      </c>
      <c r="H12" t="s">
        <v>37</v>
      </c>
      <c r="I12" t="s">
        <v>38</v>
      </c>
      <c r="J12" t="s">
        <v>39</v>
      </c>
      <c r="K12" s="2">
        <v>9</v>
      </c>
      <c r="L12" s="3">
        <v>4500</v>
      </c>
      <c r="M12" s="2">
        <v>0</v>
      </c>
      <c r="N12" s="3">
        <v>40500</v>
      </c>
      <c r="O12" s="3">
        <v>23400</v>
      </c>
      <c r="P12" s="3">
        <v>17100</v>
      </c>
      <c r="Q12" t="s">
        <v>40</v>
      </c>
      <c r="R12" t="s">
        <v>29</v>
      </c>
      <c r="S12" t="s">
        <v>41</v>
      </c>
    </row>
    <row r="13" spans="1:19" x14ac:dyDescent="0.3">
      <c r="A13">
        <v>12</v>
      </c>
      <c r="B13" t="s">
        <v>92</v>
      </c>
      <c r="C13" t="s">
        <v>93</v>
      </c>
      <c r="D13" t="s">
        <v>94</v>
      </c>
      <c r="E13" t="s">
        <v>22</v>
      </c>
      <c r="F13" t="s">
        <v>68</v>
      </c>
      <c r="G13" t="s">
        <v>81</v>
      </c>
      <c r="H13" t="s">
        <v>25</v>
      </c>
      <c r="I13" t="s">
        <v>95</v>
      </c>
      <c r="J13" t="s">
        <v>39</v>
      </c>
      <c r="K13" s="2">
        <v>5</v>
      </c>
      <c r="L13" s="3">
        <v>1200</v>
      </c>
      <c r="M13" s="2">
        <v>0</v>
      </c>
      <c r="N13" s="3">
        <v>6000</v>
      </c>
      <c r="O13" s="3">
        <v>3250</v>
      </c>
      <c r="P13" s="3">
        <v>2750</v>
      </c>
      <c r="Q13" t="s">
        <v>48</v>
      </c>
      <c r="R13" t="s">
        <v>84</v>
      </c>
      <c r="S13" t="s">
        <v>59</v>
      </c>
    </row>
    <row r="14" spans="1:19" x14ac:dyDescent="0.3">
      <c r="A14">
        <v>13</v>
      </c>
      <c r="B14" t="s">
        <v>96</v>
      </c>
      <c r="C14" t="s">
        <v>97</v>
      </c>
      <c r="D14" t="s">
        <v>98</v>
      </c>
      <c r="E14" t="s">
        <v>99</v>
      </c>
      <c r="F14" t="s">
        <v>35</v>
      </c>
      <c r="G14" t="s">
        <v>36</v>
      </c>
      <c r="H14" t="s">
        <v>37</v>
      </c>
      <c r="I14" t="s">
        <v>100</v>
      </c>
      <c r="J14" t="s">
        <v>39</v>
      </c>
      <c r="K14" s="2">
        <v>7</v>
      </c>
      <c r="L14" s="3">
        <v>3500</v>
      </c>
      <c r="M14" s="2">
        <v>10</v>
      </c>
      <c r="N14" s="3">
        <v>22050</v>
      </c>
      <c r="O14" s="3">
        <v>13300</v>
      </c>
      <c r="P14" s="3">
        <v>8750</v>
      </c>
      <c r="Q14" t="s">
        <v>28</v>
      </c>
      <c r="R14" t="s">
        <v>49</v>
      </c>
      <c r="S14" t="s">
        <v>41</v>
      </c>
    </row>
    <row r="15" spans="1:19" x14ac:dyDescent="0.3">
      <c r="A15">
        <v>14</v>
      </c>
      <c r="B15" t="s">
        <v>101</v>
      </c>
      <c r="C15" t="s">
        <v>102</v>
      </c>
      <c r="D15" t="s">
        <v>103</v>
      </c>
      <c r="E15" t="s">
        <v>34</v>
      </c>
      <c r="F15" t="s">
        <v>104</v>
      </c>
      <c r="G15" t="s">
        <v>105</v>
      </c>
      <c r="H15" t="s">
        <v>56</v>
      </c>
      <c r="I15" t="s">
        <v>46</v>
      </c>
      <c r="J15" t="s">
        <v>47</v>
      </c>
      <c r="K15" s="2">
        <v>9</v>
      </c>
      <c r="L15" s="3">
        <v>8500</v>
      </c>
      <c r="M15" s="2">
        <v>5</v>
      </c>
      <c r="N15" s="3">
        <v>72675</v>
      </c>
      <c r="O15" s="3">
        <v>50400</v>
      </c>
      <c r="P15" s="3">
        <v>22275</v>
      </c>
      <c r="Q15" t="s">
        <v>48</v>
      </c>
      <c r="R15" t="s">
        <v>49</v>
      </c>
      <c r="S15" t="s">
        <v>59</v>
      </c>
    </row>
    <row r="16" spans="1:19" x14ac:dyDescent="0.3">
      <c r="A16">
        <v>15</v>
      </c>
      <c r="B16" t="s">
        <v>106</v>
      </c>
      <c r="C16" t="s">
        <v>107</v>
      </c>
      <c r="D16" t="s">
        <v>108</v>
      </c>
      <c r="E16" t="s">
        <v>109</v>
      </c>
      <c r="F16" t="s">
        <v>23</v>
      </c>
      <c r="G16" t="s">
        <v>110</v>
      </c>
      <c r="H16" t="s">
        <v>111</v>
      </c>
      <c r="I16" t="s">
        <v>46</v>
      </c>
      <c r="J16" t="s">
        <v>47</v>
      </c>
      <c r="K16" s="2">
        <v>8</v>
      </c>
      <c r="L16" s="3">
        <v>8500</v>
      </c>
      <c r="M16" s="2">
        <v>0</v>
      </c>
      <c r="N16" s="3">
        <v>68000</v>
      </c>
      <c r="O16" s="3">
        <v>44800</v>
      </c>
      <c r="P16" s="3">
        <v>23200</v>
      </c>
      <c r="Q16" t="s">
        <v>40</v>
      </c>
      <c r="R16" t="s">
        <v>29</v>
      </c>
      <c r="S16" t="s">
        <v>30</v>
      </c>
    </row>
    <row r="17" spans="1:19" x14ac:dyDescent="0.3">
      <c r="A17">
        <v>16</v>
      </c>
      <c r="B17" t="s">
        <v>112</v>
      </c>
      <c r="C17" t="s">
        <v>113</v>
      </c>
      <c r="D17" t="s">
        <v>114</v>
      </c>
      <c r="E17" t="s">
        <v>34</v>
      </c>
      <c r="F17" t="s">
        <v>35</v>
      </c>
      <c r="G17" t="s">
        <v>36</v>
      </c>
      <c r="H17" t="s">
        <v>37</v>
      </c>
      <c r="I17" t="s">
        <v>95</v>
      </c>
      <c r="J17" t="s">
        <v>39</v>
      </c>
      <c r="K17" s="2">
        <v>10</v>
      </c>
      <c r="L17" s="3">
        <v>1200</v>
      </c>
      <c r="M17" s="2">
        <v>0</v>
      </c>
      <c r="N17" s="3">
        <v>12000</v>
      </c>
      <c r="O17" s="3">
        <v>6500</v>
      </c>
      <c r="P17" s="3">
        <v>5500</v>
      </c>
      <c r="Q17" t="s">
        <v>58</v>
      </c>
      <c r="R17" t="s">
        <v>84</v>
      </c>
      <c r="S17" t="s">
        <v>59</v>
      </c>
    </row>
    <row r="18" spans="1:19" x14ac:dyDescent="0.3">
      <c r="A18">
        <v>17</v>
      </c>
      <c r="B18" t="s">
        <v>115</v>
      </c>
      <c r="C18" t="s">
        <v>116</v>
      </c>
      <c r="D18" t="s">
        <v>117</v>
      </c>
      <c r="E18" t="s">
        <v>67</v>
      </c>
      <c r="F18" t="s">
        <v>68</v>
      </c>
      <c r="G18" t="s">
        <v>69</v>
      </c>
      <c r="H18" t="s">
        <v>25</v>
      </c>
      <c r="I18" t="s">
        <v>46</v>
      </c>
      <c r="J18" t="s">
        <v>47</v>
      </c>
      <c r="K18" s="2">
        <v>1</v>
      </c>
      <c r="L18" s="3">
        <v>8500</v>
      </c>
      <c r="M18" s="2">
        <v>10</v>
      </c>
      <c r="N18" s="3">
        <v>7650</v>
      </c>
      <c r="O18" s="3">
        <v>5600</v>
      </c>
      <c r="P18" s="3">
        <v>2050</v>
      </c>
      <c r="Q18" t="s">
        <v>48</v>
      </c>
      <c r="R18" t="s">
        <v>49</v>
      </c>
      <c r="S18" t="s">
        <v>30</v>
      </c>
    </row>
    <row r="19" spans="1:19" x14ac:dyDescent="0.3">
      <c r="A19">
        <v>18</v>
      </c>
      <c r="B19" t="s">
        <v>118</v>
      </c>
      <c r="C19" t="s">
        <v>119</v>
      </c>
      <c r="D19" t="s">
        <v>120</v>
      </c>
      <c r="E19" t="s">
        <v>99</v>
      </c>
      <c r="F19" t="s">
        <v>23</v>
      </c>
      <c r="G19" t="s">
        <v>24</v>
      </c>
      <c r="H19" t="s">
        <v>25</v>
      </c>
      <c r="I19" t="s">
        <v>57</v>
      </c>
      <c r="J19" t="s">
        <v>27</v>
      </c>
      <c r="K19" s="2">
        <v>7</v>
      </c>
      <c r="L19" s="3">
        <v>18000</v>
      </c>
      <c r="M19" s="2">
        <v>0</v>
      </c>
      <c r="N19" s="3">
        <v>126000</v>
      </c>
      <c r="O19" s="3">
        <v>87500</v>
      </c>
      <c r="P19" s="3">
        <v>38500</v>
      </c>
      <c r="Q19" t="s">
        <v>40</v>
      </c>
      <c r="R19" t="s">
        <v>84</v>
      </c>
      <c r="S19" t="s">
        <v>30</v>
      </c>
    </row>
    <row r="20" spans="1:19" x14ac:dyDescent="0.3">
      <c r="A20">
        <v>19</v>
      </c>
      <c r="B20" t="s">
        <v>121</v>
      </c>
      <c r="C20" t="s">
        <v>122</v>
      </c>
      <c r="D20" t="s">
        <v>123</v>
      </c>
      <c r="E20" t="s">
        <v>124</v>
      </c>
      <c r="F20" t="s">
        <v>125</v>
      </c>
      <c r="G20" t="s">
        <v>126</v>
      </c>
      <c r="H20" t="s">
        <v>56</v>
      </c>
      <c r="I20" t="s">
        <v>82</v>
      </c>
      <c r="J20" t="s">
        <v>27</v>
      </c>
      <c r="K20" s="2">
        <v>9</v>
      </c>
      <c r="L20" s="3">
        <v>30000</v>
      </c>
      <c r="M20" s="2">
        <v>0</v>
      </c>
      <c r="N20" s="3">
        <v>270000</v>
      </c>
      <c r="O20" s="3">
        <v>189000</v>
      </c>
      <c r="P20" s="3">
        <v>81000</v>
      </c>
      <c r="Q20" t="s">
        <v>48</v>
      </c>
      <c r="R20" t="s">
        <v>84</v>
      </c>
      <c r="S20" t="s">
        <v>41</v>
      </c>
    </row>
    <row r="21" spans="1:19" x14ac:dyDescent="0.3">
      <c r="A21">
        <v>20</v>
      </c>
      <c r="B21" t="s">
        <v>60</v>
      </c>
      <c r="C21" t="s">
        <v>127</v>
      </c>
      <c r="D21" t="s">
        <v>128</v>
      </c>
      <c r="E21" t="s">
        <v>109</v>
      </c>
      <c r="F21" t="s">
        <v>68</v>
      </c>
      <c r="G21" t="s">
        <v>81</v>
      </c>
      <c r="H21" t="s">
        <v>25</v>
      </c>
      <c r="I21" t="s">
        <v>82</v>
      </c>
      <c r="J21" t="s">
        <v>27</v>
      </c>
      <c r="K21" s="2">
        <v>9</v>
      </c>
      <c r="L21" s="3">
        <v>30000</v>
      </c>
      <c r="M21" s="2">
        <v>15</v>
      </c>
      <c r="N21" s="3">
        <v>229500</v>
      </c>
      <c r="O21" s="3">
        <v>189000</v>
      </c>
      <c r="P21" s="3">
        <v>40500</v>
      </c>
      <c r="Q21" t="s">
        <v>48</v>
      </c>
      <c r="R21" t="s">
        <v>49</v>
      </c>
      <c r="S21" t="s">
        <v>59</v>
      </c>
    </row>
    <row r="22" spans="1:19" x14ac:dyDescent="0.3">
      <c r="A22">
        <v>21</v>
      </c>
      <c r="B22" t="s">
        <v>129</v>
      </c>
      <c r="C22" t="s">
        <v>130</v>
      </c>
      <c r="D22" t="s">
        <v>131</v>
      </c>
      <c r="E22" t="s">
        <v>109</v>
      </c>
      <c r="F22" t="s">
        <v>23</v>
      </c>
      <c r="G22" t="s">
        <v>24</v>
      </c>
      <c r="H22" t="s">
        <v>25</v>
      </c>
      <c r="I22" t="s">
        <v>63</v>
      </c>
      <c r="J22" t="s">
        <v>39</v>
      </c>
      <c r="K22" s="2">
        <v>5</v>
      </c>
      <c r="L22" s="3">
        <v>2500</v>
      </c>
      <c r="M22" s="2">
        <v>0</v>
      </c>
      <c r="N22" s="3">
        <v>12500</v>
      </c>
      <c r="O22" s="3">
        <v>7000</v>
      </c>
      <c r="P22" s="3">
        <v>5500</v>
      </c>
      <c r="Q22" t="s">
        <v>28</v>
      </c>
      <c r="R22" t="s">
        <v>84</v>
      </c>
      <c r="S22" t="s">
        <v>41</v>
      </c>
    </row>
    <row r="23" spans="1:19" x14ac:dyDescent="0.3">
      <c r="A23">
        <v>22</v>
      </c>
      <c r="B23" t="s">
        <v>132</v>
      </c>
      <c r="C23" t="s">
        <v>133</v>
      </c>
      <c r="D23" t="s">
        <v>134</v>
      </c>
      <c r="E23" t="s">
        <v>53</v>
      </c>
      <c r="F23" t="s">
        <v>104</v>
      </c>
      <c r="G23" t="s">
        <v>105</v>
      </c>
      <c r="H23" t="s">
        <v>56</v>
      </c>
      <c r="I23" t="s">
        <v>100</v>
      </c>
      <c r="J23" t="s">
        <v>39</v>
      </c>
      <c r="K23" s="2">
        <v>2</v>
      </c>
      <c r="L23" s="3">
        <v>3500</v>
      </c>
      <c r="M23" s="2">
        <v>15</v>
      </c>
      <c r="N23" s="3">
        <v>5950</v>
      </c>
      <c r="O23" s="3">
        <v>3800</v>
      </c>
      <c r="P23" s="3">
        <v>2150</v>
      </c>
      <c r="Q23" t="s">
        <v>28</v>
      </c>
      <c r="R23" t="s">
        <v>84</v>
      </c>
      <c r="S23" t="s">
        <v>59</v>
      </c>
    </row>
    <row r="24" spans="1:19" x14ac:dyDescent="0.3">
      <c r="A24">
        <v>23</v>
      </c>
      <c r="B24" t="s">
        <v>135</v>
      </c>
      <c r="C24" t="s">
        <v>136</v>
      </c>
      <c r="D24" t="s">
        <v>137</v>
      </c>
      <c r="E24" t="s">
        <v>34</v>
      </c>
      <c r="F24" t="s">
        <v>23</v>
      </c>
      <c r="G24" t="s">
        <v>110</v>
      </c>
      <c r="H24" t="s">
        <v>111</v>
      </c>
      <c r="I24" t="s">
        <v>57</v>
      </c>
      <c r="J24" t="s">
        <v>27</v>
      </c>
      <c r="K24" s="2">
        <v>9</v>
      </c>
      <c r="L24" s="3">
        <v>18000</v>
      </c>
      <c r="M24" s="2">
        <v>15</v>
      </c>
      <c r="N24" s="3">
        <v>137700</v>
      </c>
      <c r="O24" s="3">
        <v>112500</v>
      </c>
      <c r="P24" s="3">
        <v>25200</v>
      </c>
      <c r="Q24" t="s">
        <v>28</v>
      </c>
      <c r="R24" t="s">
        <v>84</v>
      </c>
      <c r="S24" t="s">
        <v>30</v>
      </c>
    </row>
    <row r="25" spans="1:19" x14ac:dyDescent="0.3">
      <c r="A25">
        <v>24</v>
      </c>
      <c r="B25" t="s">
        <v>138</v>
      </c>
      <c r="C25" t="s">
        <v>139</v>
      </c>
      <c r="D25" t="s">
        <v>140</v>
      </c>
      <c r="E25" t="s">
        <v>91</v>
      </c>
      <c r="F25" t="s">
        <v>23</v>
      </c>
      <c r="G25" t="s">
        <v>45</v>
      </c>
      <c r="H25" t="s">
        <v>25</v>
      </c>
      <c r="I25" t="s">
        <v>38</v>
      </c>
      <c r="J25" t="s">
        <v>39</v>
      </c>
      <c r="K25" s="2">
        <v>5</v>
      </c>
      <c r="L25" s="3">
        <v>4500</v>
      </c>
      <c r="M25" s="2">
        <v>5</v>
      </c>
      <c r="N25" s="3">
        <v>21375</v>
      </c>
      <c r="O25" s="3">
        <v>13000</v>
      </c>
      <c r="P25" s="3">
        <v>8375</v>
      </c>
      <c r="Q25" t="s">
        <v>58</v>
      </c>
      <c r="R25" t="s">
        <v>84</v>
      </c>
      <c r="S25" t="s">
        <v>59</v>
      </c>
    </row>
    <row r="26" spans="1:19" x14ac:dyDescent="0.3">
      <c r="A26">
        <v>25</v>
      </c>
      <c r="B26" t="s">
        <v>141</v>
      </c>
      <c r="C26" t="s">
        <v>142</v>
      </c>
      <c r="D26" t="s">
        <v>143</v>
      </c>
      <c r="E26" t="s">
        <v>109</v>
      </c>
      <c r="F26" t="s">
        <v>23</v>
      </c>
      <c r="G26" t="s">
        <v>45</v>
      </c>
      <c r="H26" t="s">
        <v>25</v>
      </c>
      <c r="I26" t="s">
        <v>144</v>
      </c>
      <c r="J26" t="s">
        <v>27</v>
      </c>
      <c r="K26" s="2">
        <v>2</v>
      </c>
      <c r="L26" s="3">
        <v>14000</v>
      </c>
      <c r="M26" s="2">
        <v>5</v>
      </c>
      <c r="N26" s="3">
        <v>26600</v>
      </c>
      <c r="O26" s="3">
        <v>19000</v>
      </c>
      <c r="P26" s="3">
        <v>7600</v>
      </c>
      <c r="Q26" t="s">
        <v>48</v>
      </c>
      <c r="R26" t="s">
        <v>84</v>
      </c>
      <c r="S26" t="s">
        <v>41</v>
      </c>
    </row>
    <row r="27" spans="1:19" x14ac:dyDescent="0.3">
      <c r="A27">
        <v>26</v>
      </c>
      <c r="B27" t="s">
        <v>145</v>
      </c>
      <c r="C27" t="s">
        <v>146</v>
      </c>
      <c r="D27" t="s">
        <v>147</v>
      </c>
      <c r="E27" t="s">
        <v>109</v>
      </c>
      <c r="F27" t="s">
        <v>23</v>
      </c>
      <c r="G27" t="s">
        <v>45</v>
      </c>
      <c r="H27" t="s">
        <v>25</v>
      </c>
      <c r="I27" t="s">
        <v>26</v>
      </c>
      <c r="J27" t="s">
        <v>27</v>
      </c>
      <c r="K27" s="2">
        <v>2</v>
      </c>
      <c r="L27" s="3">
        <v>55000</v>
      </c>
      <c r="M27" s="2">
        <v>10</v>
      </c>
      <c r="N27" s="3">
        <v>99000</v>
      </c>
      <c r="O27" s="3">
        <v>76000</v>
      </c>
      <c r="P27" s="3">
        <v>23000</v>
      </c>
      <c r="Q27" t="s">
        <v>28</v>
      </c>
      <c r="R27" t="s">
        <v>29</v>
      </c>
      <c r="S27" t="s">
        <v>41</v>
      </c>
    </row>
    <row r="28" spans="1:19" x14ac:dyDescent="0.3">
      <c r="A28">
        <v>27</v>
      </c>
      <c r="B28" t="s">
        <v>148</v>
      </c>
      <c r="C28" t="s">
        <v>149</v>
      </c>
      <c r="D28" t="s">
        <v>150</v>
      </c>
      <c r="E28" t="s">
        <v>124</v>
      </c>
      <c r="F28" t="s">
        <v>68</v>
      </c>
      <c r="G28" t="s">
        <v>81</v>
      </c>
      <c r="H28" t="s">
        <v>25</v>
      </c>
      <c r="I28" t="s">
        <v>77</v>
      </c>
      <c r="J28" t="s">
        <v>27</v>
      </c>
      <c r="K28" s="2">
        <v>9</v>
      </c>
      <c r="L28" s="3">
        <v>22000</v>
      </c>
      <c r="M28" s="2">
        <v>0</v>
      </c>
      <c r="N28" s="3">
        <v>198000</v>
      </c>
      <c r="O28" s="3">
        <v>139500</v>
      </c>
      <c r="P28" s="3">
        <v>58500</v>
      </c>
      <c r="Q28" t="s">
        <v>58</v>
      </c>
      <c r="R28" t="s">
        <v>29</v>
      </c>
      <c r="S28" t="s">
        <v>30</v>
      </c>
    </row>
    <row r="29" spans="1:19" x14ac:dyDescent="0.3">
      <c r="A29">
        <v>28</v>
      </c>
      <c r="B29" t="s">
        <v>151</v>
      </c>
      <c r="C29" t="s">
        <v>152</v>
      </c>
      <c r="D29" t="s">
        <v>153</v>
      </c>
      <c r="E29" t="s">
        <v>22</v>
      </c>
      <c r="F29" t="s">
        <v>104</v>
      </c>
      <c r="G29" t="s">
        <v>105</v>
      </c>
      <c r="H29" t="s">
        <v>56</v>
      </c>
      <c r="I29" t="s">
        <v>73</v>
      </c>
      <c r="J29" t="s">
        <v>47</v>
      </c>
      <c r="K29" s="2">
        <v>10</v>
      </c>
      <c r="L29" s="3">
        <v>12000</v>
      </c>
      <c r="M29" s="2">
        <v>5</v>
      </c>
      <c r="N29" s="3">
        <v>114000</v>
      </c>
      <c r="O29" s="3">
        <v>80000</v>
      </c>
      <c r="P29" s="3">
        <v>34000</v>
      </c>
      <c r="Q29" t="s">
        <v>58</v>
      </c>
      <c r="R29" t="s">
        <v>49</v>
      </c>
      <c r="S29" t="s">
        <v>41</v>
      </c>
    </row>
    <row r="30" spans="1:19" x14ac:dyDescent="0.3">
      <c r="A30">
        <v>29</v>
      </c>
      <c r="B30" t="s">
        <v>154</v>
      </c>
      <c r="C30" t="s">
        <v>155</v>
      </c>
      <c r="D30" t="s">
        <v>156</v>
      </c>
      <c r="E30" t="s">
        <v>34</v>
      </c>
      <c r="F30" t="s">
        <v>23</v>
      </c>
      <c r="G30" t="s">
        <v>24</v>
      </c>
      <c r="H30" t="s">
        <v>25</v>
      </c>
      <c r="I30" t="s">
        <v>157</v>
      </c>
      <c r="J30" t="s">
        <v>47</v>
      </c>
      <c r="K30" s="2">
        <v>7</v>
      </c>
      <c r="L30" s="3">
        <v>15000</v>
      </c>
      <c r="M30" s="2">
        <v>5</v>
      </c>
      <c r="N30" s="3">
        <v>99750</v>
      </c>
      <c r="O30" s="3">
        <v>70000</v>
      </c>
      <c r="P30" s="3">
        <v>29750</v>
      </c>
      <c r="Q30" t="s">
        <v>58</v>
      </c>
      <c r="R30" t="s">
        <v>49</v>
      </c>
      <c r="S30" t="s">
        <v>30</v>
      </c>
    </row>
    <row r="31" spans="1:19" x14ac:dyDescent="0.3">
      <c r="A31">
        <v>30</v>
      </c>
      <c r="B31" t="s">
        <v>158</v>
      </c>
      <c r="C31" t="s">
        <v>159</v>
      </c>
      <c r="D31" t="s">
        <v>160</v>
      </c>
      <c r="E31" t="s">
        <v>109</v>
      </c>
      <c r="F31" t="s">
        <v>35</v>
      </c>
      <c r="G31" t="s">
        <v>36</v>
      </c>
      <c r="H31" t="s">
        <v>37</v>
      </c>
      <c r="I31" t="s">
        <v>157</v>
      </c>
      <c r="J31" t="s">
        <v>47</v>
      </c>
      <c r="K31" s="2">
        <v>11</v>
      </c>
      <c r="L31" s="3">
        <v>15000</v>
      </c>
      <c r="M31" s="2">
        <v>0</v>
      </c>
      <c r="N31" s="3">
        <v>165000</v>
      </c>
      <c r="O31" s="3">
        <v>110000</v>
      </c>
      <c r="P31" s="3">
        <v>55000</v>
      </c>
      <c r="Q31" t="s">
        <v>58</v>
      </c>
      <c r="R31" t="s">
        <v>84</v>
      </c>
      <c r="S31" t="s">
        <v>59</v>
      </c>
    </row>
    <row r="32" spans="1:19" x14ac:dyDescent="0.3">
      <c r="A32">
        <v>31</v>
      </c>
      <c r="B32" t="s">
        <v>161</v>
      </c>
      <c r="C32" t="s">
        <v>162</v>
      </c>
      <c r="D32" t="s">
        <v>163</v>
      </c>
      <c r="E32" t="s">
        <v>99</v>
      </c>
      <c r="F32" t="s">
        <v>23</v>
      </c>
      <c r="G32" t="s">
        <v>24</v>
      </c>
      <c r="H32" t="s">
        <v>25</v>
      </c>
      <c r="I32" t="s">
        <v>144</v>
      </c>
      <c r="J32" t="s">
        <v>27</v>
      </c>
      <c r="K32" s="2">
        <v>4</v>
      </c>
      <c r="L32" s="3">
        <v>14000</v>
      </c>
      <c r="M32" s="2">
        <v>0</v>
      </c>
      <c r="N32" s="3">
        <v>56000</v>
      </c>
      <c r="O32" s="3">
        <v>38000</v>
      </c>
      <c r="P32" s="3">
        <v>18000</v>
      </c>
      <c r="Q32" t="s">
        <v>28</v>
      </c>
      <c r="R32" t="s">
        <v>49</v>
      </c>
      <c r="S32" t="s">
        <v>41</v>
      </c>
    </row>
    <row r="33" spans="1:19" x14ac:dyDescent="0.3">
      <c r="A33">
        <v>32</v>
      </c>
      <c r="B33" t="s">
        <v>164</v>
      </c>
      <c r="C33" t="s">
        <v>165</v>
      </c>
      <c r="D33" t="s">
        <v>166</v>
      </c>
      <c r="E33" t="s">
        <v>67</v>
      </c>
      <c r="F33" t="s">
        <v>167</v>
      </c>
      <c r="G33" t="s">
        <v>168</v>
      </c>
      <c r="H33" t="s">
        <v>169</v>
      </c>
      <c r="I33" t="s">
        <v>144</v>
      </c>
      <c r="J33" t="s">
        <v>27</v>
      </c>
      <c r="K33" s="2">
        <v>2</v>
      </c>
      <c r="L33" s="3">
        <v>14000</v>
      </c>
      <c r="M33" s="2">
        <v>5</v>
      </c>
      <c r="N33" s="3">
        <v>26600</v>
      </c>
      <c r="O33" s="3">
        <v>19000</v>
      </c>
      <c r="P33" s="3">
        <v>7600</v>
      </c>
      <c r="Q33" t="s">
        <v>40</v>
      </c>
      <c r="R33" t="s">
        <v>84</v>
      </c>
      <c r="S33" t="s">
        <v>30</v>
      </c>
    </row>
    <row r="34" spans="1:19" x14ac:dyDescent="0.3">
      <c r="A34">
        <v>33</v>
      </c>
      <c r="B34" t="s">
        <v>170</v>
      </c>
      <c r="C34" t="s">
        <v>171</v>
      </c>
      <c r="D34" t="s">
        <v>172</v>
      </c>
      <c r="E34" t="s">
        <v>34</v>
      </c>
      <c r="F34" t="s">
        <v>23</v>
      </c>
      <c r="G34" t="s">
        <v>173</v>
      </c>
      <c r="H34" t="s">
        <v>25</v>
      </c>
      <c r="I34" t="s">
        <v>77</v>
      </c>
      <c r="J34" t="s">
        <v>27</v>
      </c>
      <c r="K34" s="2">
        <v>4</v>
      </c>
      <c r="L34" s="3">
        <v>22000</v>
      </c>
      <c r="M34" s="2">
        <v>0</v>
      </c>
      <c r="N34" s="3">
        <v>88000</v>
      </c>
      <c r="O34" s="3">
        <v>62000</v>
      </c>
      <c r="P34" s="3">
        <v>26000</v>
      </c>
      <c r="Q34" t="s">
        <v>58</v>
      </c>
      <c r="R34" t="s">
        <v>49</v>
      </c>
      <c r="S34" t="s">
        <v>41</v>
      </c>
    </row>
    <row r="35" spans="1:19" x14ac:dyDescent="0.3">
      <c r="A35">
        <v>34</v>
      </c>
      <c r="B35" t="s">
        <v>174</v>
      </c>
      <c r="C35" t="s">
        <v>175</v>
      </c>
      <c r="D35" t="s">
        <v>176</v>
      </c>
      <c r="E35" t="s">
        <v>109</v>
      </c>
      <c r="F35" t="s">
        <v>177</v>
      </c>
      <c r="G35" t="s">
        <v>178</v>
      </c>
      <c r="H35" t="s">
        <v>169</v>
      </c>
      <c r="I35" t="s">
        <v>26</v>
      </c>
      <c r="J35" t="s">
        <v>27</v>
      </c>
      <c r="K35" s="2">
        <v>3</v>
      </c>
      <c r="L35" s="3">
        <v>55000</v>
      </c>
      <c r="M35" s="2">
        <v>5</v>
      </c>
      <c r="N35" s="3">
        <v>156750</v>
      </c>
      <c r="O35" s="3">
        <v>114000</v>
      </c>
      <c r="P35" s="3">
        <v>42750</v>
      </c>
      <c r="Q35" t="s">
        <v>58</v>
      </c>
      <c r="R35" t="s">
        <v>49</v>
      </c>
      <c r="S35" t="s">
        <v>59</v>
      </c>
    </row>
    <row r="36" spans="1:19" x14ac:dyDescent="0.3">
      <c r="A36">
        <v>35</v>
      </c>
      <c r="B36" t="s">
        <v>179</v>
      </c>
      <c r="C36" t="s">
        <v>180</v>
      </c>
      <c r="D36" t="s">
        <v>181</v>
      </c>
      <c r="E36" t="s">
        <v>99</v>
      </c>
      <c r="F36" t="s">
        <v>177</v>
      </c>
      <c r="G36" t="s">
        <v>178</v>
      </c>
      <c r="H36" t="s">
        <v>169</v>
      </c>
      <c r="I36" t="s">
        <v>38</v>
      </c>
      <c r="J36" t="s">
        <v>39</v>
      </c>
      <c r="K36" s="2">
        <v>12</v>
      </c>
      <c r="L36" s="3">
        <v>4500</v>
      </c>
      <c r="M36" s="2">
        <v>15</v>
      </c>
      <c r="N36" s="3">
        <v>45900</v>
      </c>
      <c r="O36" s="3">
        <v>31200</v>
      </c>
      <c r="P36" s="3">
        <v>14700</v>
      </c>
      <c r="Q36" t="s">
        <v>28</v>
      </c>
      <c r="R36" t="s">
        <v>29</v>
      </c>
      <c r="S36" t="s">
        <v>59</v>
      </c>
    </row>
    <row r="37" spans="1:19" x14ac:dyDescent="0.3">
      <c r="A37">
        <v>36</v>
      </c>
      <c r="B37" t="s">
        <v>42</v>
      </c>
      <c r="C37" t="s">
        <v>182</v>
      </c>
      <c r="D37" t="s">
        <v>183</v>
      </c>
      <c r="E37" t="s">
        <v>109</v>
      </c>
      <c r="F37" t="s">
        <v>23</v>
      </c>
      <c r="G37" t="s">
        <v>173</v>
      </c>
      <c r="H37" t="s">
        <v>25</v>
      </c>
      <c r="I37" t="s">
        <v>73</v>
      </c>
      <c r="J37" t="s">
        <v>47</v>
      </c>
      <c r="K37" s="2">
        <v>12</v>
      </c>
      <c r="L37" s="3">
        <v>12000</v>
      </c>
      <c r="M37" s="2">
        <v>10</v>
      </c>
      <c r="N37" s="3">
        <v>129600</v>
      </c>
      <c r="O37" s="3">
        <v>96000</v>
      </c>
      <c r="P37" s="3">
        <v>33600</v>
      </c>
      <c r="Q37" t="s">
        <v>83</v>
      </c>
      <c r="R37" t="s">
        <v>29</v>
      </c>
      <c r="S37" t="s">
        <v>41</v>
      </c>
    </row>
    <row r="38" spans="1:19" x14ac:dyDescent="0.3">
      <c r="A38">
        <v>37</v>
      </c>
      <c r="B38" t="s">
        <v>184</v>
      </c>
      <c r="C38" t="s">
        <v>185</v>
      </c>
      <c r="D38" t="s">
        <v>186</v>
      </c>
      <c r="E38" t="s">
        <v>109</v>
      </c>
      <c r="F38" t="s">
        <v>167</v>
      </c>
      <c r="G38" t="s">
        <v>168</v>
      </c>
      <c r="H38" t="s">
        <v>169</v>
      </c>
      <c r="I38" t="s">
        <v>46</v>
      </c>
      <c r="J38" t="s">
        <v>47</v>
      </c>
      <c r="K38" s="2">
        <v>9</v>
      </c>
      <c r="L38" s="3">
        <v>8500</v>
      </c>
      <c r="M38" s="2">
        <v>0</v>
      </c>
      <c r="N38" s="3">
        <v>76500</v>
      </c>
      <c r="O38" s="3">
        <v>50400</v>
      </c>
      <c r="P38" s="3">
        <v>26100</v>
      </c>
      <c r="Q38" t="s">
        <v>48</v>
      </c>
      <c r="R38" t="s">
        <v>29</v>
      </c>
      <c r="S38" t="s">
        <v>41</v>
      </c>
    </row>
    <row r="39" spans="1:19" x14ac:dyDescent="0.3">
      <c r="A39">
        <v>38</v>
      </c>
      <c r="B39" t="s">
        <v>187</v>
      </c>
      <c r="C39" t="s">
        <v>188</v>
      </c>
      <c r="D39" t="s">
        <v>189</v>
      </c>
      <c r="E39" t="s">
        <v>22</v>
      </c>
      <c r="F39" t="s">
        <v>54</v>
      </c>
      <c r="G39" t="s">
        <v>55</v>
      </c>
      <c r="H39" t="s">
        <v>56</v>
      </c>
      <c r="I39" t="s">
        <v>77</v>
      </c>
      <c r="J39" t="s">
        <v>27</v>
      </c>
      <c r="K39" s="2">
        <v>11</v>
      </c>
      <c r="L39" s="3">
        <v>22000</v>
      </c>
      <c r="M39" s="2">
        <v>15</v>
      </c>
      <c r="N39" s="3">
        <v>205700</v>
      </c>
      <c r="O39" s="3">
        <v>170500</v>
      </c>
      <c r="P39" s="3">
        <v>35200</v>
      </c>
      <c r="Q39" t="s">
        <v>58</v>
      </c>
      <c r="R39" t="s">
        <v>29</v>
      </c>
      <c r="S39" t="s">
        <v>30</v>
      </c>
    </row>
    <row r="40" spans="1:19" x14ac:dyDescent="0.3">
      <c r="A40">
        <v>39</v>
      </c>
      <c r="B40" t="s">
        <v>101</v>
      </c>
      <c r="C40" t="s">
        <v>190</v>
      </c>
      <c r="D40" t="s">
        <v>191</v>
      </c>
      <c r="E40" t="s">
        <v>67</v>
      </c>
      <c r="F40" t="s">
        <v>54</v>
      </c>
      <c r="G40" t="s">
        <v>55</v>
      </c>
      <c r="H40" t="s">
        <v>56</v>
      </c>
      <c r="I40" t="s">
        <v>73</v>
      </c>
      <c r="J40" t="s">
        <v>47</v>
      </c>
      <c r="K40" s="2">
        <v>1</v>
      </c>
      <c r="L40" s="3">
        <v>12000</v>
      </c>
      <c r="M40" s="2">
        <v>10</v>
      </c>
      <c r="N40" s="3">
        <v>10800</v>
      </c>
      <c r="O40" s="3">
        <v>8000</v>
      </c>
      <c r="P40" s="3">
        <v>2800</v>
      </c>
      <c r="Q40" t="s">
        <v>58</v>
      </c>
      <c r="R40" t="s">
        <v>84</v>
      </c>
      <c r="S40" t="s">
        <v>30</v>
      </c>
    </row>
    <row r="41" spans="1:19" x14ac:dyDescent="0.3">
      <c r="A41">
        <v>40</v>
      </c>
      <c r="B41" t="s">
        <v>192</v>
      </c>
      <c r="C41" t="s">
        <v>193</v>
      </c>
      <c r="D41" t="s">
        <v>194</v>
      </c>
      <c r="E41" t="s">
        <v>91</v>
      </c>
      <c r="F41" t="s">
        <v>125</v>
      </c>
      <c r="G41" t="s">
        <v>126</v>
      </c>
      <c r="H41" t="s">
        <v>56</v>
      </c>
      <c r="I41" t="s">
        <v>63</v>
      </c>
      <c r="J41" t="s">
        <v>39</v>
      </c>
      <c r="K41" s="2">
        <v>5</v>
      </c>
      <c r="L41" s="3">
        <v>2500</v>
      </c>
      <c r="M41" s="2">
        <v>0</v>
      </c>
      <c r="N41" s="3">
        <v>12500</v>
      </c>
      <c r="O41" s="3">
        <v>7000</v>
      </c>
      <c r="P41" s="3">
        <v>5500</v>
      </c>
      <c r="Q41" t="s">
        <v>28</v>
      </c>
      <c r="R41" t="s">
        <v>49</v>
      </c>
      <c r="S41" t="s">
        <v>59</v>
      </c>
    </row>
    <row r="42" spans="1:19" x14ac:dyDescent="0.3">
      <c r="A42">
        <v>41</v>
      </c>
      <c r="B42" t="s">
        <v>151</v>
      </c>
      <c r="C42" t="s">
        <v>195</v>
      </c>
      <c r="D42" t="s">
        <v>196</v>
      </c>
      <c r="E42" t="s">
        <v>91</v>
      </c>
      <c r="F42" t="s">
        <v>35</v>
      </c>
      <c r="G42" t="s">
        <v>36</v>
      </c>
      <c r="H42" t="s">
        <v>37</v>
      </c>
      <c r="I42" t="s">
        <v>157</v>
      </c>
      <c r="J42" t="s">
        <v>47</v>
      </c>
      <c r="K42" s="2">
        <v>5</v>
      </c>
      <c r="L42" s="3">
        <v>15000</v>
      </c>
      <c r="M42" s="2">
        <v>5</v>
      </c>
      <c r="N42" s="3">
        <v>71250</v>
      </c>
      <c r="O42" s="3">
        <v>50000</v>
      </c>
      <c r="P42" s="3">
        <v>21250</v>
      </c>
      <c r="Q42" t="s">
        <v>40</v>
      </c>
      <c r="R42" t="s">
        <v>29</v>
      </c>
      <c r="S42" t="s">
        <v>59</v>
      </c>
    </row>
    <row r="43" spans="1:19" x14ac:dyDescent="0.3">
      <c r="A43">
        <v>42</v>
      </c>
      <c r="B43" t="s">
        <v>197</v>
      </c>
      <c r="C43" t="s">
        <v>198</v>
      </c>
      <c r="D43" t="s">
        <v>199</v>
      </c>
      <c r="E43" t="s">
        <v>22</v>
      </c>
      <c r="F43" t="s">
        <v>54</v>
      </c>
      <c r="G43" t="s">
        <v>55</v>
      </c>
      <c r="H43" t="s">
        <v>56</v>
      </c>
      <c r="I43" t="s">
        <v>77</v>
      </c>
      <c r="J43" t="s">
        <v>27</v>
      </c>
      <c r="K43" s="2">
        <v>2</v>
      </c>
      <c r="L43" s="3">
        <v>22000</v>
      </c>
      <c r="M43" s="2">
        <v>10</v>
      </c>
      <c r="N43" s="3">
        <v>39600</v>
      </c>
      <c r="O43" s="3">
        <v>31000</v>
      </c>
      <c r="P43" s="3">
        <v>8600</v>
      </c>
      <c r="Q43" t="s">
        <v>48</v>
      </c>
      <c r="R43" t="s">
        <v>49</v>
      </c>
      <c r="S43" t="s">
        <v>41</v>
      </c>
    </row>
    <row r="44" spans="1:19" x14ac:dyDescent="0.3">
      <c r="A44">
        <v>43</v>
      </c>
      <c r="B44" t="s">
        <v>200</v>
      </c>
      <c r="C44" t="s">
        <v>201</v>
      </c>
      <c r="D44" t="s">
        <v>202</v>
      </c>
      <c r="E44" t="s">
        <v>124</v>
      </c>
      <c r="F44" t="s">
        <v>68</v>
      </c>
      <c r="G44" t="s">
        <v>81</v>
      </c>
      <c r="H44" t="s">
        <v>25</v>
      </c>
      <c r="I44" t="s">
        <v>77</v>
      </c>
      <c r="J44" t="s">
        <v>27</v>
      </c>
      <c r="K44" s="2">
        <v>4</v>
      </c>
      <c r="L44" s="3">
        <v>22000</v>
      </c>
      <c r="M44" s="2">
        <v>5</v>
      </c>
      <c r="N44" s="3">
        <v>83600</v>
      </c>
      <c r="O44" s="3">
        <v>62000</v>
      </c>
      <c r="P44" s="3">
        <v>21600</v>
      </c>
      <c r="Q44" t="s">
        <v>28</v>
      </c>
      <c r="R44" t="s">
        <v>49</v>
      </c>
      <c r="S44" t="s">
        <v>30</v>
      </c>
    </row>
    <row r="45" spans="1:19" x14ac:dyDescent="0.3">
      <c r="A45">
        <v>44</v>
      </c>
      <c r="B45" t="s">
        <v>203</v>
      </c>
      <c r="C45" t="s">
        <v>204</v>
      </c>
      <c r="D45" t="s">
        <v>205</v>
      </c>
      <c r="E45" t="s">
        <v>109</v>
      </c>
      <c r="F45" t="s">
        <v>68</v>
      </c>
      <c r="G45" t="s">
        <v>69</v>
      </c>
      <c r="H45" t="s">
        <v>25</v>
      </c>
      <c r="I45" t="s">
        <v>73</v>
      </c>
      <c r="J45" t="s">
        <v>47</v>
      </c>
      <c r="K45" s="2">
        <v>11</v>
      </c>
      <c r="L45" s="3">
        <v>12000</v>
      </c>
      <c r="M45" s="2">
        <v>10</v>
      </c>
      <c r="N45" s="3">
        <v>118800</v>
      </c>
      <c r="O45" s="3">
        <v>88000</v>
      </c>
      <c r="P45" s="3">
        <v>30800</v>
      </c>
      <c r="Q45" t="s">
        <v>48</v>
      </c>
      <c r="R45" t="s">
        <v>49</v>
      </c>
      <c r="S45" t="s">
        <v>30</v>
      </c>
    </row>
    <row r="46" spans="1:19" x14ac:dyDescent="0.3">
      <c r="A46">
        <v>45</v>
      </c>
      <c r="B46" t="s">
        <v>31</v>
      </c>
      <c r="C46" t="s">
        <v>206</v>
      </c>
      <c r="D46" t="s">
        <v>207</v>
      </c>
      <c r="E46" t="s">
        <v>53</v>
      </c>
      <c r="F46" t="s">
        <v>23</v>
      </c>
      <c r="G46" t="s">
        <v>110</v>
      </c>
      <c r="H46" t="s">
        <v>111</v>
      </c>
      <c r="I46" t="s">
        <v>57</v>
      </c>
      <c r="J46" t="s">
        <v>27</v>
      </c>
      <c r="K46" s="2">
        <v>2</v>
      </c>
      <c r="L46" s="3">
        <v>18000</v>
      </c>
      <c r="M46" s="2">
        <v>0</v>
      </c>
      <c r="N46" s="3">
        <v>36000</v>
      </c>
      <c r="O46" s="3">
        <v>25000</v>
      </c>
      <c r="P46" s="3">
        <v>11000</v>
      </c>
      <c r="Q46" t="s">
        <v>83</v>
      </c>
      <c r="R46" t="s">
        <v>49</v>
      </c>
      <c r="S46" t="s">
        <v>30</v>
      </c>
    </row>
    <row r="47" spans="1:19" x14ac:dyDescent="0.3">
      <c r="A47">
        <v>46</v>
      </c>
      <c r="B47" t="s">
        <v>208</v>
      </c>
      <c r="C47" t="s">
        <v>209</v>
      </c>
      <c r="D47" t="s">
        <v>210</v>
      </c>
      <c r="E47" t="s">
        <v>124</v>
      </c>
      <c r="F47" t="s">
        <v>104</v>
      </c>
      <c r="G47" t="s">
        <v>105</v>
      </c>
      <c r="H47" t="s">
        <v>56</v>
      </c>
      <c r="I47" t="s">
        <v>63</v>
      </c>
      <c r="J47" t="s">
        <v>39</v>
      </c>
      <c r="K47" s="2">
        <v>4</v>
      </c>
      <c r="L47" s="3">
        <v>2500</v>
      </c>
      <c r="M47" s="2">
        <v>10</v>
      </c>
      <c r="N47" s="3">
        <v>9000</v>
      </c>
      <c r="O47" s="3">
        <v>5600</v>
      </c>
      <c r="P47" s="3">
        <v>3400</v>
      </c>
      <c r="Q47" t="s">
        <v>48</v>
      </c>
      <c r="R47" t="s">
        <v>49</v>
      </c>
      <c r="S47" t="s">
        <v>59</v>
      </c>
    </row>
    <row r="48" spans="1:19" x14ac:dyDescent="0.3">
      <c r="A48">
        <v>47</v>
      </c>
      <c r="B48" t="s">
        <v>211</v>
      </c>
      <c r="C48" t="s">
        <v>212</v>
      </c>
      <c r="D48" t="s">
        <v>213</v>
      </c>
      <c r="E48" t="s">
        <v>124</v>
      </c>
      <c r="F48" t="s">
        <v>23</v>
      </c>
      <c r="G48" t="s">
        <v>173</v>
      </c>
      <c r="H48" t="s">
        <v>25</v>
      </c>
      <c r="I48" t="s">
        <v>77</v>
      </c>
      <c r="J48" t="s">
        <v>27</v>
      </c>
      <c r="K48" s="2">
        <v>11</v>
      </c>
      <c r="L48" s="3">
        <v>22000</v>
      </c>
      <c r="M48" s="2">
        <v>5</v>
      </c>
      <c r="N48" s="3">
        <v>229900</v>
      </c>
      <c r="O48" s="3">
        <v>170500</v>
      </c>
      <c r="P48" s="3">
        <v>59400</v>
      </c>
      <c r="Q48" t="s">
        <v>40</v>
      </c>
      <c r="R48" t="s">
        <v>29</v>
      </c>
      <c r="S48" t="s">
        <v>59</v>
      </c>
    </row>
    <row r="49" spans="1:19" x14ac:dyDescent="0.3">
      <c r="A49">
        <v>48</v>
      </c>
      <c r="B49" t="s">
        <v>214</v>
      </c>
      <c r="C49" t="s">
        <v>215</v>
      </c>
      <c r="D49" t="s">
        <v>216</v>
      </c>
      <c r="E49" t="s">
        <v>99</v>
      </c>
      <c r="F49" t="s">
        <v>23</v>
      </c>
      <c r="G49" t="s">
        <v>110</v>
      </c>
      <c r="H49" t="s">
        <v>111</v>
      </c>
      <c r="I49" t="s">
        <v>157</v>
      </c>
      <c r="J49" t="s">
        <v>47</v>
      </c>
      <c r="K49" s="2">
        <v>5</v>
      </c>
      <c r="L49" s="3">
        <v>15000</v>
      </c>
      <c r="M49" s="2">
        <v>0</v>
      </c>
      <c r="N49" s="3">
        <v>75000</v>
      </c>
      <c r="O49" s="3">
        <v>50000</v>
      </c>
      <c r="P49" s="3">
        <v>25000</v>
      </c>
      <c r="Q49" t="s">
        <v>48</v>
      </c>
      <c r="R49" t="s">
        <v>84</v>
      </c>
      <c r="S49" t="s">
        <v>59</v>
      </c>
    </row>
    <row r="50" spans="1:19" x14ac:dyDescent="0.3">
      <c r="A50">
        <v>49</v>
      </c>
      <c r="B50" t="s">
        <v>217</v>
      </c>
      <c r="C50" t="s">
        <v>218</v>
      </c>
      <c r="D50" t="s">
        <v>219</v>
      </c>
      <c r="E50" t="s">
        <v>53</v>
      </c>
      <c r="F50" t="s">
        <v>23</v>
      </c>
      <c r="G50" t="s">
        <v>173</v>
      </c>
      <c r="H50" t="s">
        <v>25</v>
      </c>
      <c r="I50" t="s">
        <v>77</v>
      </c>
      <c r="J50" t="s">
        <v>27</v>
      </c>
      <c r="K50" s="2">
        <v>2</v>
      </c>
      <c r="L50" s="3">
        <v>22000</v>
      </c>
      <c r="M50" s="2">
        <v>10</v>
      </c>
      <c r="N50" s="3">
        <v>39600</v>
      </c>
      <c r="O50" s="3">
        <v>31000</v>
      </c>
      <c r="P50" s="3">
        <v>8600</v>
      </c>
      <c r="Q50" t="s">
        <v>48</v>
      </c>
      <c r="R50" t="s">
        <v>29</v>
      </c>
      <c r="S50" t="s">
        <v>59</v>
      </c>
    </row>
    <row r="51" spans="1:19" x14ac:dyDescent="0.3">
      <c r="A51">
        <v>50</v>
      </c>
      <c r="B51" t="s">
        <v>184</v>
      </c>
      <c r="C51" t="s">
        <v>220</v>
      </c>
      <c r="D51" t="s">
        <v>221</v>
      </c>
      <c r="E51" t="s">
        <v>109</v>
      </c>
      <c r="F51" t="s">
        <v>125</v>
      </c>
      <c r="G51" t="s">
        <v>126</v>
      </c>
      <c r="H51" t="s">
        <v>56</v>
      </c>
      <c r="I51" t="s">
        <v>82</v>
      </c>
      <c r="J51" t="s">
        <v>27</v>
      </c>
      <c r="K51" s="2">
        <v>7</v>
      </c>
      <c r="L51" s="3">
        <v>30000</v>
      </c>
      <c r="M51" s="2">
        <v>0</v>
      </c>
      <c r="N51" s="3">
        <v>210000</v>
      </c>
      <c r="O51" s="3">
        <v>147000</v>
      </c>
      <c r="P51" s="3">
        <v>63000</v>
      </c>
      <c r="Q51" t="s">
        <v>83</v>
      </c>
      <c r="R51" t="s">
        <v>49</v>
      </c>
      <c r="S51" t="s">
        <v>41</v>
      </c>
    </row>
    <row r="52" spans="1:19" x14ac:dyDescent="0.3">
      <c r="A52">
        <v>51</v>
      </c>
      <c r="B52" t="s">
        <v>222</v>
      </c>
      <c r="C52" t="s">
        <v>223</v>
      </c>
      <c r="D52" t="s">
        <v>224</v>
      </c>
      <c r="E52" t="s">
        <v>67</v>
      </c>
      <c r="F52" t="s">
        <v>68</v>
      </c>
      <c r="G52" t="s">
        <v>81</v>
      </c>
      <c r="H52" t="s">
        <v>25</v>
      </c>
      <c r="I52" t="s">
        <v>144</v>
      </c>
      <c r="J52" t="s">
        <v>27</v>
      </c>
      <c r="K52" s="2">
        <v>11</v>
      </c>
      <c r="L52" s="3">
        <v>14000</v>
      </c>
      <c r="M52" s="2">
        <v>0</v>
      </c>
      <c r="N52" s="3">
        <v>154000</v>
      </c>
      <c r="O52" s="3">
        <v>104500</v>
      </c>
      <c r="P52" s="3">
        <v>49500</v>
      </c>
      <c r="Q52" t="s">
        <v>83</v>
      </c>
      <c r="R52" t="s">
        <v>84</v>
      </c>
      <c r="S52" t="s">
        <v>59</v>
      </c>
    </row>
    <row r="53" spans="1:19" x14ac:dyDescent="0.3">
      <c r="A53">
        <v>52</v>
      </c>
      <c r="B53" t="s">
        <v>225</v>
      </c>
      <c r="C53" t="s">
        <v>226</v>
      </c>
      <c r="D53" t="s">
        <v>227</v>
      </c>
      <c r="E53" t="s">
        <v>53</v>
      </c>
      <c r="F53" t="s">
        <v>104</v>
      </c>
      <c r="G53" t="s">
        <v>105</v>
      </c>
      <c r="H53" t="s">
        <v>56</v>
      </c>
      <c r="I53" t="s">
        <v>82</v>
      </c>
      <c r="J53" t="s">
        <v>27</v>
      </c>
      <c r="K53" s="2">
        <v>4</v>
      </c>
      <c r="L53" s="3">
        <v>30000</v>
      </c>
      <c r="M53" s="2">
        <v>15</v>
      </c>
      <c r="N53" s="3">
        <v>102000</v>
      </c>
      <c r="O53" s="3">
        <v>84000</v>
      </c>
      <c r="P53" s="3">
        <v>18000</v>
      </c>
      <c r="Q53" t="s">
        <v>28</v>
      </c>
      <c r="R53" t="s">
        <v>49</v>
      </c>
      <c r="S53" t="s">
        <v>41</v>
      </c>
    </row>
    <row r="54" spans="1:19" x14ac:dyDescent="0.3">
      <c r="A54">
        <v>53</v>
      </c>
      <c r="B54" t="s">
        <v>228</v>
      </c>
      <c r="C54" t="s">
        <v>229</v>
      </c>
      <c r="D54" t="s">
        <v>230</v>
      </c>
      <c r="E54" t="s">
        <v>22</v>
      </c>
      <c r="F54" t="s">
        <v>104</v>
      </c>
      <c r="G54" t="s">
        <v>105</v>
      </c>
      <c r="H54" t="s">
        <v>56</v>
      </c>
      <c r="I54" t="s">
        <v>63</v>
      </c>
      <c r="J54" t="s">
        <v>39</v>
      </c>
      <c r="K54" s="2">
        <v>7</v>
      </c>
      <c r="L54" s="3">
        <v>2500</v>
      </c>
      <c r="M54" s="2">
        <v>15</v>
      </c>
      <c r="N54" s="3">
        <v>14875</v>
      </c>
      <c r="O54" s="3">
        <v>9800</v>
      </c>
      <c r="P54" s="3">
        <v>5075</v>
      </c>
      <c r="Q54" t="s">
        <v>83</v>
      </c>
      <c r="R54" t="s">
        <v>29</v>
      </c>
      <c r="S54" t="s">
        <v>30</v>
      </c>
    </row>
    <row r="55" spans="1:19" x14ac:dyDescent="0.3">
      <c r="A55">
        <v>54</v>
      </c>
      <c r="B55" t="s">
        <v>231</v>
      </c>
      <c r="C55" t="s">
        <v>232</v>
      </c>
      <c r="D55" t="s">
        <v>233</v>
      </c>
      <c r="E55" t="s">
        <v>22</v>
      </c>
      <c r="F55" t="s">
        <v>177</v>
      </c>
      <c r="G55" t="s">
        <v>178</v>
      </c>
      <c r="H55" t="s">
        <v>169</v>
      </c>
      <c r="I55" t="s">
        <v>26</v>
      </c>
      <c r="J55" t="s">
        <v>27</v>
      </c>
      <c r="K55" s="2">
        <v>8</v>
      </c>
      <c r="L55" s="3">
        <v>55000</v>
      </c>
      <c r="M55" s="2">
        <v>0</v>
      </c>
      <c r="N55" s="3">
        <v>440000</v>
      </c>
      <c r="O55" s="3">
        <v>304000</v>
      </c>
      <c r="P55" s="3">
        <v>136000</v>
      </c>
      <c r="Q55" t="s">
        <v>58</v>
      </c>
      <c r="R55" t="s">
        <v>49</v>
      </c>
      <c r="S55" t="s">
        <v>59</v>
      </c>
    </row>
    <row r="56" spans="1:19" x14ac:dyDescent="0.3">
      <c r="A56">
        <v>55</v>
      </c>
      <c r="B56" t="s">
        <v>234</v>
      </c>
      <c r="C56" t="s">
        <v>235</v>
      </c>
      <c r="D56" t="s">
        <v>236</v>
      </c>
      <c r="E56" t="s">
        <v>22</v>
      </c>
      <c r="F56" t="s">
        <v>23</v>
      </c>
      <c r="G56" t="s">
        <v>45</v>
      </c>
      <c r="H56" t="s">
        <v>25</v>
      </c>
      <c r="I56" t="s">
        <v>144</v>
      </c>
      <c r="J56" t="s">
        <v>27</v>
      </c>
      <c r="K56" s="2">
        <v>1</v>
      </c>
      <c r="L56" s="3">
        <v>14000</v>
      </c>
      <c r="M56" s="2">
        <v>10</v>
      </c>
      <c r="N56" s="3">
        <v>12600</v>
      </c>
      <c r="O56" s="3">
        <v>9500</v>
      </c>
      <c r="P56" s="3">
        <v>3100</v>
      </c>
      <c r="Q56" t="s">
        <v>58</v>
      </c>
      <c r="R56" t="s">
        <v>49</v>
      </c>
      <c r="S56" t="s">
        <v>59</v>
      </c>
    </row>
    <row r="57" spans="1:19" x14ac:dyDescent="0.3">
      <c r="A57">
        <v>56</v>
      </c>
      <c r="B57" t="s">
        <v>174</v>
      </c>
      <c r="C57" t="s">
        <v>237</v>
      </c>
      <c r="D57" t="s">
        <v>238</v>
      </c>
      <c r="E57" t="s">
        <v>34</v>
      </c>
      <c r="F57" t="s">
        <v>23</v>
      </c>
      <c r="G57" t="s">
        <v>24</v>
      </c>
      <c r="H57" t="s">
        <v>25</v>
      </c>
      <c r="I57" t="s">
        <v>57</v>
      </c>
      <c r="J57" t="s">
        <v>27</v>
      </c>
      <c r="K57" s="2">
        <v>6</v>
      </c>
      <c r="L57" s="3">
        <v>18000</v>
      </c>
      <c r="M57" s="2">
        <v>10</v>
      </c>
      <c r="N57" s="3">
        <v>97200</v>
      </c>
      <c r="O57" s="3">
        <v>75000</v>
      </c>
      <c r="P57" s="3">
        <v>22200</v>
      </c>
      <c r="Q57" t="s">
        <v>48</v>
      </c>
      <c r="R57" t="s">
        <v>49</v>
      </c>
      <c r="S57" t="s">
        <v>41</v>
      </c>
    </row>
    <row r="58" spans="1:19" x14ac:dyDescent="0.3">
      <c r="A58">
        <v>57</v>
      </c>
      <c r="B58" t="s">
        <v>239</v>
      </c>
      <c r="C58" t="s">
        <v>240</v>
      </c>
      <c r="D58" t="s">
        <v>241</v>
      </c>
      <c r="E58" t="s">
        <v>109</v>
      </c>
      <c r="F58" t="s">
        <v>68</v>
      </c>
      <c r="G58" t="s">
        <v>69</v>
      </c>
      <c r="H58" t="s">
        <v>25</v>
      </c>
      <c r="I58" t="s">
        <v>82</v>
      </c>
      <c r="J58" t="s">
        <v>27</v>
      </c>
      <c r="K58" s="2">
        <v>10</v>
      </c>
      <c r="L58" s="3">
        <v>30000</v>
      </c>
      <c r="M58" s="2">
        <v>5</v>
      </c>
      <c r="N58" s="3">
        <v>285000</v>
      </c>
      <c r="O58" s="3">
        <v>210000</v>
      </c>
      <c r="P58" s="3">
        <v>75000</v>
      </c>
      <c r="Q58" t="s">
        <v>40</v>
      </c>
      <c r="R58" t="s">
        <v>84</v>
      </c>
      <c r="S58" t="s">
        <v>59</v>
      </c>
    </row>
    <row r="59" spans="1:19" x14ac:dyDescent="0.3">
      <c r="A59">
        <v>58</v>
      </c>
      <c r="B59" t="s">
        <v>242</v>
      </c>
      <c r="C59" t="s">
        <v>243</v>
      </c>
      <c r="D59" t="s">
        <v>244</v>
      </c>
      <c r="E59" t="s">
        <v>67</v>
      </c>
      <c r="F59" t="s">
        <v>104</v>
      </c>
      <c r="G59" t="s">
        <v>105</v>
      </c>
      <c r="H59" t="s">
        <v>56</v>
      </c>
      <c r="I59" t="s">
        <v>63</v>
      </c>
      <c r="J59" t="s">
        <v>39</v>
      </c>
      <c r="K59" s="2">
        <v>7</v>
      </c>
      <c r="L59" s="3">
        <v>2500</v>
      </c>
      <c r="M59" s="2">
        <v>10</v>
      </c>
      <c r="N59" s="3">
        <v>15750</v>
      </c>
      <c r="O59" s="3">
        <v>9800</v>
      </c>
      <c r="P59" s="3">
        <v>5950</v>
      </c>
      <c r="Q59" t="s">
        <v>58</v>
      </c>
      <c r="R59" t="s">
        <v>84</v>
      </c>
      <c r="S59" t="s">
        <v>41</v>
      </c>
    </row>
    <row r="60" spans="1:19" x14ac:dyDescent="0.3">
      <c r="A60">
        <v>59</v>
      </c>
      <c r="B60" t="s">
        <v>245</v>
      </c>
      <c r="C60" t="s">
        <v>246</v>
      </c>
      <c r="D60" t="s">
        <v>247</v>
      </c>
      <c r="E60" t="s">
        <v>22</v>
      </c>
      <c r="F60" t="s">
        <v>23</v>
      </c>
      <c r="G60" t="s">
        <v>173</v>
      </c>
      <c r="H60" t="s">
        <v>25</v>
      </c>
      <c r="I60" t="s">
        <v>38</v>
      </c>
      <c r="J60" t="s">
        <v>39</v>
      </c>
      <c r="K60" s="2">
        <v>7</v>
      </c>
      <c r="L60" s="3">
        <v>4500</v>
      </c>
      <c r="M60" s="2">
        <v>0</v>
      </c>
      <c r="N60" s="3">
        <v>31500</v>
      </c>
      <c r="O60" s="3">
        <v>18200</v>
      </c>
      <c r="P60" s="3">
        <v>13300</v>
      </c>
      <c r="Q60" t="s">
        <v>83</v>
      </c>
      <c r="R60" t="s">
        <v>49</v>
      </c>
      <c r="S60" t="s">
        <v>41</v>
      </c>
    </row>
    <row r="61" spans="1:19" x14ac:dyDescent="0.3">
      <c r="A61">
        <v>60</v>
      </c>
      <c r="B61" t="s">
        <v>248</v>
      </c>
      <c r="C61" t="s">
        <v>249</v>
      </c>
      <c r="D61" t="s">
        <v>250</v>
      </c>
      <c r="E61" t="s">
        <v>67</v>
      </c>
      <c r="F61" t="s">
        <v>68</v>
      </c>
      <c r="G61" t="s">
        <v>81</v>
      </c>
      <c r="H61" t="s">
        <v>25</v>
      </c>
      <c r="I61" t="s">
        <v>73</v>
      </c>
      <c r="J61" t="s">
        <v>47</v>
      </c>
      <c r="K61" s="2">
        <v>6</v>
      </c>
      <c r="L61" s="3">
        <v>12000</v>
      </c>
      <c r="M61" s="2">
        <v>10</v>
      </c>
      <c r="N61" s="3">
        <v>64800</v>
      </c>
      <c r="O61" s="3">
        <v>48000</v>
      </c>
      <c r="P61" s="3">
        <v>16800</v>
      </c>
      <c r="Q61" t="s">
        <v>83</v>
      </c>
      <c r="R61" t="s">
        <v>84</v>
      </c>
      <c r="S61" t="s">
        <v>59</v>
      </c>
    </row>
    <row r="62" spans="1:19" x14ac:dyDescent="0.3">
      <c r="A62">
        <v>61</v>
      </c>
      <c r="B62" t="s">
        <v>248</v>
      </c>
      <c r="C62" t="s">
        <v>251</v>
      </c>
      <c r="D62" t="s">
        <v>252</v>
      </c>
      <c r="E62" t="s">
        <v>124</v>
      </c>
      <c r="F62" t="s">
        <v>177</v>
      </c>
      <c r="G62" t="s">
        <v>178</v>
      </c>
      <c r="H62" t="s">
        <v>169</v>
      </c>
      <c r="I62" t="s">
        <v>63</v>
      </c>
      <c r="J62" t="s">
        <v>39</v>
      </c>
      <c r="K62" s="2">
        <v>7</v>
      </c>
      <c r="L62" s="3">
        <v>2500</v>
      </c>
      <c r="M62" s="2">
        <v>10</v>
      </c>
      <c r="N62" s="3">
        <v>15750</v>
      </c>
      <c r="O62" s="3">
        <v>9800</v>
      </c>
      <c r="P62" s="3">
        <v>5950</v>
      </c>
      <c r="Q62" t="s">
        <v>48</v>
      </c>
      <c r="R62" t="s">
        <v>29</v>
      </c>
      <c r="S62" t="s">
        <v>41</v>
      </c>
    </row>
    <row r="63" spans="1:19" x14ac:dyDescent="0.3">
      <c r="A63">
        <v>62</v>
      </c>
      <c r="B63" t="s">
        <v>253</v>
      </c>
      <c r="C63" t="s">
        <v>254</v>
      </c>
      <c r="D63" t="s">
        <v>255</v>
      </c>
      <c r="E63" t="s">
        <v>53</v>
      </c>
      <c r="F63" t="s">
        <v>35</v>
      </c>
      <c r="G63" t="s">
        <v>36</v>
      </c>
      <c r="H63" t="s">
        <v>37</v>
      </c>
      <c r="I63" t="s">
        <v>95</v>
      </c>
      <c r="J63" t="s">
        <v>39</v>
      </c>
      <c r="K63" s="2">
        <v>11</v>
      </c>
      <c r="L63" s="3">
        <v>1200</v>
      </c>
      <c r="M63" s="2">
        <v>10</v>
      </c>
      <c r="N63" s="3">
        <v>11880</v>
      </c>
      <c r="O63" s="3">
        <v>7150</v>
      </c>
      <c r="P63" s="3">
        <v>4730</v>
      </c>
      <c r="Q63" t="s">
        <v>48</v>
      </c>
      <c r="R63" t="s">
        <v>84</v>
      </c>
      <c r="S63" t="s">
        <v>59</v>
      </c>
    </row>
    <row r="64" spans="1:19" x14ac:dyDescent="0.3">
      <c r="A64">
        <v>63</v>
      </c>
      <c r="B64" t="s">
        <v>256</v>
      </c>
      <c r="C64" t="s">
        <v>257</v>
      </c>
      <c r="D64" t="s">
        <v>258</v>
      </c>
      <c r="E64" t="s">
        <v>22</v>
      </c>
      <c r="F64" t="s">
        <v>125</v>
      </c>
      <c r="G64" t="s">
        <v>126</v>
      </c>
      <c r="H64" t="s">
        <v>56</v>
      </c>
      <c r="I64" t="s">
        <v>26</v>
      </c>
      <c r="J64" t="s">
        <v>27</v>
      </c>
      <c r="K64" s="2">
        <v>5</v>
      </c>
      <c r="L64" s="3">
        <v>55000</v>
      </c>
      <c r="M64" s="2">
        <v>5</v>
      </c>
      <c r="N64" s="3">
        <v>261250</v>
      </c>
      <c r="O64" s="3">
        <v>190000</v>
      </c>
      <c r="P64" s="3">
        <v>71250</v>
      </c>
      <c r="Q64" t="s">
        <v>58</v>
      </c>
      <c r="R64" t="s">
        <v>84</v>
      </c>
      <c r="S64" t="s">
        <v>30</v>
      </c>
    </row>
    <row r="65" spans="1:19" x14ac:dyDescent="0.3">
      <c r="A65">
        <v>64</v>
      </c>
      <c r="B65" t="s">
        <v>259</v>
      </c>
      <c r="C65" t="s">
        <v>260</v>
      </c>
      <c r="D65" t="s">
        <v>261</v>
      </c>
      <c r="E65" t="s">
        <v>22</v>
      </c>
      <c r="F65" t="s">
        <v>68</v>
      </c>
      <c r="G65" t="s">
        <v>81</v>
      </c>
      <c r="H65" t="s">
        <v>25</v>
      </c>
      <c r="I65" t="s">
        <v>100</v>
      </c>
      <c r="J65" t="s">
        <v>39</v>
      </c>
      <c r="K65" s="2">
        <v>8</v>
      </c>
      <c r="L65" s="3">
        <v>3500</v>
      </c>
      <c r="M65" s="2">
        <v>5</v>
      </c>
      <c r="N65" s="3">
        <v>26600</v>
      </c>
      <c r="O65" s="3">
        <v>15200</v>
      </c>
      <c r="P65" s="3">
        <v>11400</v>
      </c>
      <c r="Q65" t="s">
        <v>48</v>
      </c>
      <c r="R65" t="s">
        <v>49</v>
      </c>
      <c r="S65" t="s">
        <v>30</v>
      </c>
    </row>
    <row r="66" spans="1:19" x14ac:dyDescent="0.3">
      <c r="A66">
        <v>65</v>
      </c>
      <c r="B66" t="s">
        <v>262</v>
      </c>
      <c r="C66" t="s">
        <v>263</v>
      </c>
      <c r="D66" t="s">
        <v>264</v>
      </c>
      <c r="E66" t="s">
        <v>91</v>
      </c>
      <c r="F66" t="s">
        <v>35</v>
      </c>
      <c r="G66" t="s">
        <v>36</v>
      </c>
      <c r="H66" t="s">
        <v>37</v>
      </c>
      <c r="I66" t="s">
        <v>77</v>
      </c>
      <c r="J66" t="s">
        <v>27</v>
      </c>
      <c r="K66" s="2">
        <v>5</v>
      </c>
      <c r="L66" s="3">
        <v>22000</v>
      </c>
      <c r="M66" s="2">
        <v>10</v>
      </c>
      <c r="N66" s="3">
        <v>99000</v>
      </c>
      <c r="O66" s="3">
        <v>77500</v>
      </c>
      <c r="P66" s="3">
        <v>21500</v>
      </c>
      <c r="Q66" t="s">
        <v>40</v>
      </c>
      <c r="R66" t="s">
        <v>29</v>
      </c>
      <c r="S66" t="s">
        <v>30</v>
      </c>
    </row>
    <row r="67" spans="1:19" x14ac:dyDescent="0.3">
      <c r="A67">
        <v>66</v>
      </c>
      <c r="B67" t="s">
        <v>265</v>
      </c>
      <c r="C67" t="s">
        <v>266</v>
      </c>
      <c r="D67" t="s">
        <v>267</v>
      </c>
      <c r="E67" t="s">
        <v>109</v>
      </c>
      <c r="F67" t="s">
        <v>23</v>
      </c>
      <c r="G67" t="s">
        <v>45</v>
      </c>
      <c r="H67" t="s">
        <v>25</v>
      </c>
      <c r="I67" t="s">
        <v>144</v>
      </c>
      <c r="J67" t="s">
        <v>27</v>
      </c>
      <c r="K67" s="2">
        <v>3</v>
      </c>
      <c r="L67" s="3">
        <v>14000</v>
      </c>
      <c r="M67" s="2">
        <v>0</v>
      </c>
      <c r="N67" s="3">
        <v>42000</v>
      </c>
      <c r="O67" s="3">
        <v>28500</v>
      </c>
      <c r="P67" s="3">
        <v>13500</v>
      </c>
      <c r="Q67" t="s">
        <v>28</v>
      </c>
      <c r="R67" t="s">
        <v>49</v>
      </c>
      <c r="S67" t="s">
        <v>30</v>
      </c>
    </row>
    <row r="68" spans="1:19" x14ac:dyDescent="0.3">
      <c r="A68">
        <v>67</v>
      </c>
      <c r="B68" t="s">
        <v>268</v>
      </c>
      <c r="C68" t="s">
        <v>269</v>
      </c>
      <c r="D68" t="s">
        <v>270</v>
      </c>
      <c r="E68" t="s">
        <v>22</v>
      </c>
      <c r="F68" t="s">
        <v>23</v>
      </c>
      <c r="G68" t="s">
        <v>24</v>
      </c>
      <c r="H68" t="s">
        <v>25</v>
      </c>
      <c r="I68" t="s">
        <v>100</v>
      </c>
      <c r="J68" t="s">
        <v>39</v>
      </c>
      <c r="K68" s="2">
        <v>7</v>
      </c>
      <c r="L68" s="3">
        <v>3500</v>
      </c>
      <c r="M68" s="2">
        <v>10</v>
      </c>
      <c r="N68" s="3">
        <v>22050</v>
      </c>
      <c r="O68" s="3">
        <v>13300</v>
      </c>
      <c r="P68" s="3">
        <v>8750</v>
      </c>
      <c r="Q68" t="s">
        <v>58</v>
      </c>
      <c r="R68" t="s">
        <v>49</v>
      </c>
      <c r="S68" t="s">
        <v>59</v>
      </c>
    </row>
    <row r="69" spans="1:19" x14ac:dyDescent="0.3">
      <c r="A69">
        <v>68</v>
      </c>
      <c r="B69" t="s">
        <v>271</v>
      </c>
      <c r="C69" t="s">
        <v>272</v>
      </c>
      <c r="D69" t="s">
        <v>273</v>
      </c>
      <c r="E69" t="s">
        <v>67</v>
      </c>
      <c r="F69" t="s">
        <v>23</v>
      </c>
      <c r="G69" t="s">
        <v>110</v>
      </c>
      <c r="H69" t="s">
        <v>111</v>
      </c>
      <c r="I69" t="s">
        <v>157</v>
      </c>
      <c r="J69" t="s">
        <v>47</v>
      </c>
      <c r="K69" s="2">
        <v>12</v>
      </c>
      <c r="L69" s="3">
        <v>15000</v>
      </c>
      <c r="M69" s="2">
        <v>0</v>
      </c>
      <c r="N69" s="3">
        <v>180000</v>
      </c>
      <c r="O69" s="3">
        <v>120000</v>
      </c>
      <c r="P69" s="3">
        <v>60000</v>
      </c>
      <c r="Q69" t="s">
        <v>58</v>
      </c>
      <c r="R69" t="s">
        <v>29</v>
      </c>
      <c r="S69" t="s">
        <v>41</v>
      </c>
    </row>
    <row r="70" spans="1:19" x14ac:dyDescent="0.3">
      <c r="A70">
        <v>69</v>
      </c>
      <c r="B70" t="s">
        <v>274</v>
      </c>
      <c r="C70" t="s">
        <v>275</v>
      </c>
      <c r="D70" t="s">
        <v>276</v>
      </c>
      <c r="E70" t="s">
        <v>22</v>
      </c>
      <c r="F70" t="s">
        <v>104</v>
      </c>
      <c r="G70" t="s">
        <v>105</v>
      </c>
      <c r="H70" t="s">
        <v>56</v>
      </c>
      <c r="I70" t="s">
        <v>46</v>
      </c>
      <c r="J70" t="s">
        <v>47</v>
      </c>
      <c r="K70" s="2">
        <v>8</v>
      </c>
      <c r="L70" s="3">
        <v>8500</v>
      </c>
      <c r="M70" s="2">
        <v>0</v>
      </c>
      <c r="N70" s="3">
        <v>68000</v>
      </c>
      <c r="O70" s="3">
        <v>44800</v>
      </c>
      <c r="P70" s="3">
        <v>23200</v>
      </c>
      <c r="Q70" t="s">
        <v>40</v>
      </c>
      <c r="R70" t="s">
        <v>49</v>
      </c>
      <c r="S70" t="s">
        <v>41</v>
      </c>
    </row>
    <row r="71" spans="1:19" x14ac:dyDescent="0.3">
      <c r="A71">
        <v>70</v>
      </c>
      <c r="B71" t="s">
        <v>274</v>
      </c>
      <c r="C71" t="s">
        <v>277</v>
      </c>
      <c r="D71" t="s">
        <v>278</v>
      </c>
      <c r="E71" t="s">
        <v>91</v>
      </c>
      <c r="F71" t="s">
        <v>167</v>
      </c>
      <c r="G71" t="s">
        <v>168</v>
      </c>
      <c r="H71" t="s">
        <v>169</v>
      </c>
      <c r="I71" t="s">
        <v>157</v>
      </c>
      <c r="J71" t="s">
        <v>47</v>
      </c>
      <c r="K71" s="2">
        <v>9</v>
      </c>
      <c r="L71" s="3">
        <v>15000</v>
      </c>
      <c r="M71" s="2">
        <v>10</v>
      </c>
      <c r="N71" s="3">
        <v>121500</v>
      </c>
      <c r="O71" s="3">
        <v>90000</v>
      </c>
      <c r="P71" s="3">
        <v>31500</v>
      </c>
      <c r="Q71" t="s">
        <v>58</v>
      </c>
      <c r="R71" t="s">
        <v>84</v>
      </c>
      <c r="S71" t="s">
        <v>30</v>
      </c>
    </row>
    <row r="72" spans="1:19" x14ac:dyDescent="0.3">
      <c r="A72">
        <v>71</v>
      </c>
      <c r="B72" t="s">
        <v>279</v>
      </c>
      <c r="C72" t="s">
        <v>280</v>
      </c>
      <c r="D72" t="s">
        <v>281</v>
      </c>
      <c r="E72" t="s">
        <v>53</v>
      </c>
      <c r="F72" t="s">
        <v>125</v>
      </c>
      <c r="G72" t="s">
        <v>126</v>
      </c>
      <c r="H72" t="s">
        <v>56</v>
      </c>
      <c r="I72" t="s">
        <v>95</v>
      </c>
      <c r="J72" t="s">
        <v>39</v>
      </c>
      <c r="K72" s="2">
        <v>9</v>
      </c>
      <c r="L72" s="3">
        <v>1200</v>
      </c>
      <c r="M72" s="2">
        <v>5</v>
      </c>
      <c r="N72" s="3">
        <v>10260</v>
      </c>
      <c r="O72" s="3">
        <v>5850</v>
      </c>
      <c r="P72" s="3">
        <v>4410</v>
      </c>
      <c r="Q72" t="s">
        <v>58</v>
      </c>
      <c r="R72" t="s">
        <v>49</v>
      </c>
      <c r="S72" t="s">
        <v>59</v>
      </c>
    </row>
    <row r="73" spans="1:19" x14ac:dyDescent="0.3">
      <c r="A73">
        <v>72</v>
      </c>
      <c r="B73" t="s">
        <v>282</v>
      </c>
      <c r="C73" t="s">
        <v>283</v>
      </c>
      <c r="D73" t="s">
        <v>284</v>
      </c>
      <c r="E73" t="s">
        <v>99</v>
      </c>
      <c r="F73" t="s">
        <v>23</v>
      </c>
      <c r="G73" t="s">
        <v>45</v>
      </c>
      <c r="H73" t="s">
        <v>25</v>
      </c>
      <c r="I73" t="s">
        <v>157</v>
      </c>
      <c r="J73" t="s">
        <v>47</v>
      </c>
      <c r="K73" s="2">
        <v>5</v>
      </c>
      <c r="L73" s="3">
        <v>15000</v>
      </c>
      <c r="M73" s="2">
        <v>15</v>
      </c>
      <c r="N73" s="3">
        <v>63750</v>
      </c>
      <c r="O73" s="3">
        <v>50000</v>
      </c>
      <c r="P73" s="3">
        <v>13750</v>
      </c>
      <c r="Q73" t="s">
        <v>28</v>
      </c>
      <c r="R73" t="s">
        <v>49</v>
      </c>
      <c r="S73" t="s">
        <v>59</v>
      </c>
    </row>
    <row r="74" spans="1:19" x14ac:dyDescent="0.3">
      <c r="A74">
        <v>73</v>
      </c>
      <c r="B74" t="s">
        <v>285</v>
      </c>
      <c r="C74" t="s">
        <v>286</v>
      </c>
      <c r="D74" t="s">
        <v>287</v>
      </c>
      <c r="E74" t="s">
        <v>91</v>
      </c>
      <c r="F74" t="s">
        <v>104</v>
      </c>
      <c r="G74" t="s">
        <v>105</v>
      </c>
      <c r="H74" t="s">
        <v>56</v>
      </c>
      <c r="I74" t="s">
        <v>57</v>
      </c>
      <c r="J74" t="s">
        <v>27</v>
      </c>
      <c r="K74" s="2">
        <v>4</v>
      </c>
      <c r="L74" s="3">
        <v>18000</v>
      </c>
      <c r="M74" s="2">
        <v>5</v>
      </c>
      <c r="N74" s="3">
        <v>68400</v>
      </c>
      <c r="O74" s="3">
        <v>50000</v>
      </c>
      <c r="P74" s="3">
        <v>18400</v>
      </c>
      <c r="Q74" t="s">
        <v>83</v>
      </c>
      <c r="R74" t="s">
        <v>84</v>
      </c>
      <c r="S74" t="s">
        <v>41</v>
      </c>
    </row>
    <row r="75" spans="1:19" x14ac:dyDescent="0.3">
      <c r="A75">
        <v>74</v>
      </c>
      <c r="B75" t="s">
        <v>288</v>
      </c>
      <c r="C75" t="s">
        <v>289</v>
      </c>
      <c r="D75" t="s">
        <v>290</v>
      </c>
      <c r="E75" t="s">
        <v>53</v>
      </c>
      <c r="F75" t="s">
        <v>23</v>
      </c>
      <c r="G75" t="s">
        <v>110</v>
      </c>
      <c r="H75" t="s">
        <v>111</v>
      </c>
      <c r="I75" t="s">
        <v>144</v>
      </c>
      <c r="J75" t="s">
        <v>27</v>
      </c>
      <c r="K75" s="2">
        <v>7</v>
      </c>
      <c r="L75" s="3">
        <v>14000</v>
      </c>
      <c r="M75" s="2">
        <v>10</v>
      </c>
      <c r="N75" s="3">
        <v>88200</v>
      </c>
      <c r="O75" s="3">
        <v>66500</v>
      </c>
      <c r="P75" s="3">
        <v>21700</v>
      </c>
      <c r="Q75" t="s">
        <v>28</v>
      </c>
      <c r="R75" t="s">
        <v>29</v>
      </c>
      <c r="S75" t="s">
        <v>59</v>
      </c>
    </row>
    <row r="76" spans="1:19" x14ac:dyDescent="0.3">
      <c r="A76">
        <v>75</v>
      </c>
      <c r="B76" t="s">
        <v>291</v>
      </c>
      <c r="C76" t="s">
        <v>292</v>
      </c>
      <c r="D76" t="s">
        <v>293</v>
      </c>
      <c r="E76" t="s">
        <v>109</v>
      </c>
      <c r="F76" t="s">
        <v>68</v>
      </c>
      <c r="G76" t="s">
        <v>81</v>
      </c>
      <c r="H76" t="s">
        <v>25</v>
      </c>
      <c r="I76" t="s">
        <v>46</v>
      </c>
      <c r="J76" t="s">
        <v>47</v>
      </c>
      <c r="K76" s="2">
        <v>8</v>
      </c>
      <c r="L76" s="3">
        <v>8500</v>
      </c>
      <c r="M76" s="2">
        <v>5</v>
      </c>
      <c r="N76" s="3">
        <v>64600</v>
      </c>
      <c r="O76" s="3">
        <v>44800</v>
      </c>
      <c r="P76" s="3">
        <v>19800</v>
      </c>
      <c r="Q76" t="s">
        <v>28</v>
      </c>
      <c r="R76" t="s">
        <v>49</v>
      </c>
      <c r="S76" t="s">
        <v>59</v>
      </c>
    </row>
    <row r="77" spans="1:19" x14ac:dyDescent="0.3">
      <c r="A77">
        <v>76</v>
      </c>
      <c r="B77" t="s">
        <v>211</v>
      </c>
      <c r="C77" t="s">
        <v>294</v>
      </c>
      <c r="D77" t="s">
        <v>295</v>
      </c>
      <c r="E77" t="s">
        <v>34</v>
      </c>
      <c r="F77" t="s">
        <v>54</v>
      </c>
      <c r="G77" t="s">
        <v>55</v>
      </c>
      <c r="H77" t="s">
        <v>56</v>
      </c>
      <c r="I77" t="s">
        <v>38</v>
      </c>
      <c r="J77" t="s">
        <v>39</v>
      </c>
      <c r="K77" s="2">
        <v>1</v>
      </c>
      <c r="L77" s="3">
        <v>4500</v>
      </c>
      <c r="M77" s="2">
        <v>15</v>
      </c>
      <c r="N77" s="3">
        <v>3825</v>
      </c>
      <c r="O77" s="3">
        <v>2600</v>
      </c>
      <c r="P77" s="3">
        <v>1225</v>
      </c>
      <c r="Q77" t="s">
        <v>58</v>
      </c>
      <c r="R77" t="s">
        <v>29</v>
      </c>
      <c r="S77" t="s">
        <v>59</v>
      </c>
    </row>
    <row r="78" spans="1:19" x14ac:dyDescent="0.3">
      <c r="A78">
        <v>77</v>
      </c>
      <c r="B78" t="s">
        <v>296</v>
      </c>
      <c r="C78" t="s">
        <v>297</v>
      </c>
      <c r="D78" t="s">
        <v>298</v>
      </c>
      <c r="E78" t="s">
        <v>22</v>
      </c>
      <c r="F78" t="s">
        <v>177</v>
      </c>
      <c r="G78" t="s">
        <v>178</v>
      </c>
      <c r="H78" t="s">
        <v>169</v>
      </c>
      <c r="I78" t="s">
        <v>95</v>
      </c>
      <c r="J78" t="s">
        <v>39</v>
      </c>
      <c r="K78" s="2">
        <v>9</v>
      </c>
      <c r="L78" s="3">
        <v>1200</v>
      </c>
      <c r="M78" s="2">
        <v>10</v>
      </c>
      <c r="N78" s="3">
        <v>9720</v>
      </c>
      <c r="O78" s="3">
        <v>5850</v>
      </c>
      <c r="P78" s="3">
        <v>3870</v>
      </c>
      <c r="Q78" t="s">
        <v>58</v>
      </c>
      <c r="R78" t="s">
        <v>29</v>
      </c>
      <c r="S78" t="s">
        <v>59</v>
      </c>
    </row>
    <row r="79" spans="1:19" x14ac:dyDescent="0.3">
      <c r="A79">
        <v>78</v>
      </c>
      <c r="B79" t="s">
        <v>299</v>
      </c>
      <c r="C79" t="s">
        <v>300</v>
      </c>
      <c r="D79" t="s">
        <v>301</v>
      </c>
      <c r="E79" t="s">
        <v>34</v>
      </c>
      <c r="F79" t="s">
        <v>167</v>
      </c>
      <c r="G79" t="s">
        <v>168</v>
      </c>
      <c r="H79" t="s">
        <v>169</v>
      </c>
      <c r="I79" t="s">
        <v>26</v>
      </c>
      <c r="J79" t="s">
        <v>27</v>
      </c>
      <c r="K79" s="2">
        <v>7</v>
      </c>
      <c r="L79" s="3">
        <v>55000</v>
      </c>
      <c r="M79" s="2">
        <v>5</v>
      </c>
      <c r="N79" s="3">
        <v>365750</v>
      </c>
      <c r="O79" s="3">
        <v>266000</v>
      </c>
      <c r="P79" s="3">
        <v>99750</v>
      </c>
      <c r="Q79" t="s">
        <v>28</v>
      </c>
      <c r="R79" t="s">
        <v>49</v>
      </c>
      <c r="S79" t="s">
        <v>41</v>
      </c>
    </row>
    <row r="80" spans="1:19" x14ac:dyDescent="0.3">
      <c r="A80">
        <v>79</v>
      </c>
      <c r="B80" t="s">
        <v>197</v>
      </c>
      <c r="C80" t="s">
        <v>302</v>
      </c>
      <c r="D80" t="s">
        <v>303</v>
      </c>
      <c r="E80" t="s">
        <v>109</v>
      </c>
      <c r="F80" t="s">
        <v>125</v>
      </c>
      <c r="G80" t="s">
        <v>126</v>
      </c>
      <c r="H80" t="s">
        <v>56</v>
      </c>
      <c r="I80" t="s">
        <v>26</v>
      </c>
      <c r="J80" t="s">
        <v>27</v>
      </c>
      <c r="K80" s="2">
        <v>7</v>
      </c>
      <c r="L80" s="3">
        <v>55000</v>
      </c>
      <c r="M80" s="2">
        <v>10</v>
      </c>
      <c r="N80" s="3">
        <v>346500</v>
      </c>
      <c r="O80" s="3">
        <v>266000</v>
      </c>
      <c r="P80" s="3">
        <v>80500</v>
      </c>
      <c r="Q80" t="s">
        <v>40</v>
      </c>
      <c r="R80" t="s">
        <v>84</v>
      </c>
      <c r="S80" t="s">
        <v>59</v>
      </c>
    </row>
    <row r="81" spans="1:19" x14ac:dyDescent="0.3">
      <c r="A81">
        <v>80</v>
      </c>
      <c r="B81" t="s">
        <v>304</v>
      </c>
      <c r="C81" t="s">
        <v>305</v>
      </c>
      <c r="D81" t="s">
        <v>306</v>
      </c>
      <c r="E81" t="s">
        <v>34</v>
      </c>
      <c r="F81" t="s">
        <v>167</v>
      </c>
      <c r="G81" t="s">
        <v>168</v>
      </c>
      <c r="H81" t="s">
        <v>169</v>
      </c>
      <c r="I81" t="s">
        <v>82</v>
      </c>
      <c r="J81" t="s">
        <v>27</v>
      </c>
      <c r="K81" s="2">
        <v>1</v>
      </c>
      <c r="L81" s="3">
        <v>30000</v>
      </c>
      <c r="M81" s="2">
        <v>5</v>
      </c>
      <c r="N81" s="3">
        <v>28500</v>
      </c>
      <c r="O81" s="3">
        <v>21000</v>
      </c>
      <c r="P81" s="3">
        <v>7500</v>
      </c>
      <c r="Q81" t="s">
        <v>83</v>
      </c>
      <c r="R81" t="s">
        <v>29</v>
      </c>
      <c r="S81" t="s">
        <v>59</v>
      </c>
    </row>
    <row r="82" spans="1:19" x14ac:dyDescent="0.3">
      <c r="A82">
        <v>81</v>
      </c>
      <c r="B82" t="s">
        <v>307</v>
      </c>
      <c r="C82" t="s">
        <v>308</v>
      </c>
      <c r="D82" t="s">
        <v>309</v>
      </c>
      <c r="E82" t="s">
        <v>34</v>
      </c>
      <c r="F82" t="s">
        <v>68</v>
      </c>
      <c r="G82" t="s">
        <v>81</v>
      </c>
      <c r="H82" t="s">
        <v>25</v>
      </c>
      <c r="I82" t="s">
        <v>95</v>
      </c>
      <c r="J82" t="s">
        <v>39</v>
      </c>
      <c r="K82" s="2">
        <v>5</v>
      </c>
      <c r="L82" s="3">
        <v>1200</v>
      </c>
      <c r="M82" s="2">
        <v>15</v>
      </c>
      <c r="N82" s="3">
        <v>5100</v>
      </c>
      <c r="O82" s="3">
        <v>3250</v>
      </c>
      <c r="P82" s="3">
        <v>1850</v>
      </c>
      <c r="Q82" t="s">
        <v>83</v>
      </c>
      <c r="R82" t="s">
        <v>29</v>
      </c>
      <c r="S82" t="s">
        <v>59</v>
      </c>
    </row>
    <row r="83" spans="1:19" x14ac:dyDescent="0.3">
      <c r="A83">
        <v>82</v>
      </c>
      <c r="B83" t="s">
        <v>129</v>
      </c>
      <c r="C83" t="s">
        <v>310</v>
      </c>
      <c r="D83" t="s">
        <v>311</v>
      </c>
      <c r="E83" t="s">
        <v>22</v>
      </c>
      <c r="F83" t="s">
        <v>104</v>
      </c>
      <c r="G83" t="s">
        <v>105</v>
      </c>
      <c r="H83" t="s">
        <v>56</v>
      </c>
      <c r="I83" t="s">
        <v>46</v>
      </c>
      <c r="J83" t="s">
        <v>47</v>
      </c>
      <c r="K83" s="2">
        <v>1</v>
      </c>
      <c r="L83" s="3">
        <v>8500</v>
      </c>
      <c r="M83" s="2">
        <v>5</v>
      </c>
      <c r="N83" s="3">
        <v>8075</v>
      </c>
      <c r="O83" s="3">
        <v>5600</v>
      </c>
      <c r="P83" s="3">
        <v>2475</v>
      </c>
      <c r="Q83" t="s">
        <v>40</v>
      </c>
      <c r="R83" t="s">
        <v>84</v>
      </c>
      <c r="S83" t="s">
        <v>41</v>
      </c>
    </row>
    <row r="84" spans="1:19" x14ac:dyDescent="0.3">
      <c r="A84">
        <v>83</v>
      </c>
      <c r="B84" t="s">
        <v>312</v>
      </c>
      <c r="C84" t="s">
        <v>313</v>
      </c>
      <c r="D84" t="s">
        <v>314</v>
      </c>
      <c r="E84" t="s">
        <v>109</v>
      </c>
      <c r="F84" t="s">
        <v>23</v>
      </c>
      <c r="G84" t="s">
        <v>173</v>
      </c>
      <c r="H84" t="s">
        <v>25</v>
      </c>
      <c r="I84" t="s">
        <v>144</v>
      </c>
      <c r="J84" t="s">
        <v>27</v>
      </c>
      <c r="K84" s="2">
        <v>4</v>
      </c>
      <c r="L84" s="3">
        <v>14000</v>
      </c>
      <c r="M84" s="2">
        <v>15</v>
      </c>
      <c r="N84" s="3">
        <v>47600</v>
      </c>
      <c r="O84" s="3">
        <v>38000</v>
      </c>
      <c r="P84" s="3">
        <v>9600</v>
      </c>
      <c r="Q84" t="s">
        <v>48</v>
      </c>
      <c r="R84" t="s">
        <v>29</v>
      </c>
      <c r="S84" t="s">
        <v>41</v>
      </c>
    </row>
    <row r="85" spans="1:19" x14ac:dyDescent="0.3">
      <c r="A85">
        <v>84</v>
      </c>
      <c r="B85" t="s">
        <v>315</v>
      </c>
      <c r="C85" t="s">
        <v>316</v>
      </c>
      <c r="D85" t="s">
        <v>317</v>
      </c>
      <c r="E85" t="s">
        <v>22</v>
      </c>
      <c r="F85" t="s">
        <v>167</v>
      </c>
      <c r="G85" t="s">
        <v>168</v>
      </c>
      <c r="H85" t="s">
        <v>169</v>
      </c>
      <c r="I85" t="s">
        <v>157</v>
      </c>
      <c r="J85" t="s">
        <v>47</v>
      </c>
      <c r="K85" s="2">
        <v>2</v>
      </c>
      <c r="L85" s="3">
        <v>15000</v>
      </c>
      <c r="M85" s="2">
        <v>10</v>
      </c>
      <c r="N85" s="3">
        <v>27000</v>
      </c>
      <c r="O85" s="3">
        <v>20000</v>
      </c>
      <c r="P85" s="3">
        <v>7000</v>
      </c>
      <c r="Q85" t="s">
        <v>58</v>
      </c>
      <c r="R85" t="s">
        <v>84</v>
      </c>
      <c r="S85" t="s">
        <v>59</v>
      </c>
    </row>
    <row r="86" spans="1:19" x14ac:dyDescent="0.3">
      <c r="A86">
        <v>85</v>
      </c>
      <c r="B86" t="s">
        <v>318</v>
      </c>
      <c r="C86" t="s">
        <v>319</v>
      </c>
      <c r="D86" t="s">
        <v>320</v>
      </c>
      <c r="E86" t="s">
        <v>67</v>
      </c>
      <c r="F86" t="s">
        <v>68</v>
      </c>
      <c r="G86" t="s">
        <v>81</v>
      </c>
      <c r="H86" t="s">
        <v>25</v>
      </c>
      <c r="I86" t="s">
        <v>82</v>
      </c>
      <c r="J86" t="s">
        <v>27</v>
      </c>
      <c r="K86" s="2">
        <v>10</v>
      </c>
      <c r="L86" s="3">
        <v>30000</v>
      </c>
      <c r="M86" s="2">
        <v>10</v>
      </c>
      <c r="N86" s="3">
        <v>270000</v>
      </c>
      <c r="O86" s="3">
        <v>210000</v>
      </c>
      <c r="P86" s="3">
        <v>60000</v>
      </c>
      <c r="Q86" t="s">
        <v>28</v>
      </c>
      <c r="R86" t="s">
        <v>49</v>
      </c>
      <c r="S86" t="s">
        <v>41</v>
      </c>
    </row>
    <row r="87" spans="1:19" x14ac:dyDescent="0.3">
      <c r="A87">
        <v>86</v>
      </c>
      <c r="B87" t="s">
        <v>321</v>
      </c>
      <c r="C87" t="s">
        <v>322</v>
      </c>
      <c r="D87" t="s">
        <v>323</v>
      </c>
      <c r="E87" t="s">
        <v>34</v>
      </c>
      <c r="F87" t="s">
        <v>23</v>
      </c>
      <c r="G87" t="s">
        <v>173</v>
      </c>
      <c r="H87" t="s">
        <v>25</v>
      </c>
      <c r="I87" t="s">
        <v>57</v>
      </c>
      <c r="J87" t="s">
        <v>27</v>
      </c>
      <c r="K87" s="2">
        <v>10</v>
      </c>
      <c r="L87" s="3">
        <v>18000</v>
      </c>
      <c r="M87" s="2">
        <v>10</v>
      </c>
      <c r="N87" s="3">
        <v>162000</v>
      </c>
      <c r="O87" s="3">
        <v>125000</v>
      </c>
      <c r="P87" s="3">
        <v>37000</v>
      </c>
      <c r="Q87" t="s">
        <v>58</v>
      </c>
      <c r="R87" t="s">
        <v>84</v>
      </c>
      <c r="S87" t="s">
        <v>41</v>
      </c>
    </row>
    <row r="88" spans="1:19" x14ac:dyDescent="0.3">
      <c r="A88">
        <v>87</v>
      </c>
      <c r="B88" t="s">
        <v>285</v>
      </c>
      <c r="C88" t="s">
        <v>324</v>
      </c>
      <c r="D88" t="s">
        <v>325</v>
      </c>
      <c r="E88" t="s">
        <v>67</v>
      </c>
      <c r="F88" t="s">
        <v>54</v>
      </c>
      <c r="G88" t="s">
        <v>55</v>
      </c>
      <c r="H88" t="s">
        <v>56</v>
      </c>
      <c r="I88" t="s">
        <v>38</v>
      </c>
      <c r="J88" t="s">
        <v>39</v>
      </c>
      <c r="K88" s="2">
        <v>11</v>
      </c>
      <c r="L88" s="3">
        <v>4500</v>
      </c>
      <c r="M88" s="2">
        <v>0</v>
      </c>
      <c r="N88" s="3">
        <v>49500</v>
      </c>
      <c r="O88" s="3">
        <v>28600</v>
      </c>
      <c r="P88" s="3">
        <v>20900</v>
      </c>
      <c r="Q88" t="s">
        <v>83</v>
      </c>
      <c r="R88" t="s">
        <v>84</v>
      </c>
      <c r="S88" t="s">
        <v>30</v>
      </c>
    </row>
    <row r="89" spans="1:19" x14ac:dyDescent="0.3">
      <c r="A89">
        <v>88</v>
      </c>
      <c r="B89" t="s">
        <v>92</v>
      </c>
      <c r="C89" t="s">
        <v>326</v>
      </c>
      <c r="D89" t="s">
        <v>327</v>
      </c>
      <c r="E89" t="s">
        <v>34</v>
      </c>
      <c r="F89" t="s">
        <v>23</v>
      </c>
      <c r="G89" t="s">
        <v>24</v>
      </c>
      <c r="H89" t="s">
        <v>25</v>
      </c>
      <c r="I89" t="s">
        <v>73</v>
      </c>
      <c r="J89" t="s">
        <v>47</v>
      </c>
      <c r="K89" s="2">
        <v>1</v>
      </c>
      <c r="L89" s="3">
        <v>12000</v>
      </c>
      <c r="M89" s="2">
        <v>5</v>
      </c>
      <c r="N89" s="3">
        <v>11400</v>
      </c>
      <c r="O89" s="3">
        <v>8000</v>
      </c>
      <c r="P89" s="3">
        <v>3400</v>
      </c>
      <c r="Q89" t="s">
        <v>83</v>
      </c>
      <c r="R89" t="s">
        <v>29</v>
      </c>
      <c r="S89" t="s">
        <v>30</v>
      </c>
    </row>
    <row r="90" spans="1:19" x14ac:dyDescent="0.3">
      <c r="A90">
        <v>89</v>
      </c>
      <c r="B90" t="s">
        <v>85</v>
      </c>
      <c r="C90" t="s">
        <v>328</v>
      </c>
      <c r="D90" t="s">
        <v>329</v>
      </c>
      <c r="E90" t="s">
        <v>99</v>
      </c>
      <c r="F90" t="s">
        <v>68</v>
      </c>
      <c r="G90" t="s">
        <v>81</v>
      </c>
      <c r="H90" t="s">
        <v>25</v>
      </c>
      <c r="I90" t="s">
        <v>26</v>
      </c>
      <c r="J90" t="s">
        <v>27</v>
      </c>
      <c r="K90" s="2">
        <v>7</v>
      </c>
      <c r="L90" s="3">
        <v>55000</v>
      </c>
      <c r="M90" s="2">
        <v>15</v>
      </c>
      <c r="N90" s="3">
        <v>327250</v>
      </c>
      <c r="O90" s="3">
        <v>266000</v>
      </c>
      <c r="P90" s="3">
        <v>61250</v>
      </c>
      <c r="Q90" t="s">
        <v>40</v>
      </c>
      <c r="R90" t="s">
        <v>49</v>
      </c>
      <c r="S90" t="s">
        <v>59</v>
      </c>
    </row>
    <row r="91" spans="1:19" x14ac:dyDescent="0.3">
      <c r="A91">
        <v>90</v>
      </c>
      <c r="B91" t="s">
        <v>78</v>
      </c>
      <c r="C91" t="s">
        <v>330</v>
      </c>
      <c r="D91" t="s">
        <v>331</v>
      </c>
      <c r="E91" t="s">
        <v>53</v>
      </c>
      <c r="F91" t="s">
        <v>167</v>
      </c>
      <c r="G91" t="s">
        <v>168</v>
      </c>
      <c r="H91" t="s">
        <v>169</v>
      </c>
      <c r="I91" t="s">
        <v>38</v>
      </c>
      <c r="J91" t="s">
        <v>39</v>
      </c>
      <c r="K91" s="2">
        <v>3</v>
      </c>
      <c r="L91" s="3">
        <v>4500</v>
      </c>
      <c r="M91" s="2">
        <v>5</v>
      </c>
      <c r="N91" s="3">
        <v>12825</v>
      </c>
      <c r="O91" s="3">
        <v>7800</v>
      </c>
      <c r="P91" s="3">
        <v>5025</v>
      </c>
      <c r="Q91" t="s">
        <v>48</v>
      </c>
      <c r="R91" t="s">
        <v>84</v>
      </c>
      <c r="S91" t="s">
        <v>59</v>
      </c>
    </row>
    <row r="92" spans="1:19" x14ac:dyDescent="0.3">
      <c r="A92">
        <v>91</v>
      </c>
      <c r="B92" t="s">
        <v>332</v>
      </c>
      <c r="C92" t="s">
        <v>333</v>
      </c>
      <c r="D92" t="s">
        <v>334</v>
      </c>
      <c r="E92" t="s">
        <v>124</v>
      </c>
      <c r="F92" t="s">
        <v>125</v>
      </c>
      <c r="G92" t="s">
        <v>126</v>
      </c>
      <c r="H92" t="s">
        <v>56</v>
      </c>
      <c r="I92" t="s">
        <v>100</v>
      </c>
      <c r="J92" t="s">
        <v>39</v>
      </c>
      <c r="K92" s="2">
        <v>8</v>
      </c>
      <c r="L92" s="3">
        <v>3500</v>
      </c>
      <c r="M92" s="2">
        <v>5</v>
      </c>
      <c r="N92" s="3">
        <v>26600</v>
      </c>
      <c r="O92" s="3">
        <v>15200</v>
      </c>
      <c r="P92" s="3">
        <v>11400</v>
      </c>
      <c r="Q92" t="s">
        <v>83</v>
      </c>
      <c r="R92" t="s">
        <v>29</v>
      </c>
      <c r="S92" t="s">
        <v>41</v>
      </c>
    </row>
    <row r="93" spans="1:19" x14ac:dyDescent="0.3">
      <c r="A93">
        <v>92</v>
      </c>
      <c r="B93" t="s">
        <v>164</v>
      </c>
      <c r="C93" t="s">
        <v>335</v>
      </c>
      <c r="D93" t="s">
        <v>336</v>
      </c>
      <c r="E93" t="s">
        <v>34</v>
      </c>
      <c r="F93" t="s">
        <v>167</v>
      </c>
      <c r="G93" t="s">
        <v>168</v>
      </c>
      <c r="H93" t="s">
        <v>169</v>
      </c>
      <c r="I93" t="s">
        <v>144</v>
      </c>
      <c r="J93" t="s">
        <v>27</v>
      </c>
      <c r="K93" s="2">
        <v>8</v>
      </c>
      <c r="L93" s="3">
        <v>14000</v>
      </c>
      <c r="M93" s="2">
        <v>10</v>
      </c>
      <c r="N93" s="3">
        <v>100800</v>
      </c>
      <c r="O93" s="3">
        <v>76000</v>
      </c>
      <c r="P93" s="3">
        <v>24800</v>
      </c>
      <c r="Q93" t="s">
        <v>83</v>
      </c>
      <c r="R93" t="s">
        <v>29</v>
      </c>
      <c r="S93" t="s">
        <v>59</v>
      </c>
    </row>
    <row r="94" spans="1:19" x14ac:dyDescent="0.3">
      <c r="A94">
        <v>93</v>
      </c>
      <c r="B94" t="s">
        <v>268</v>
      </c>
      <c r="C94" t="s">
        <v>337</v>
      </c>
      <c r="D94" t="s">
        <v>338</v>
      </c>
      <c r="E94" t="s">
        <v>91</v>
      </c>
      <c r="F94" t="s">
        <v>68</v>
      </c>
      <c r="G94" t="s">
        <v>81</v>
      </c>
      <c r="H94" t="s">
        <v>25</v>
      </c>
      <c r="I94" t="s">
        <v>82</v>
      </c>
      <c r="J94" t="s">
        <v>27</v>
      </c>
      <c r="K94" s="2">
        <v>8</v>
      </c>
      <c r="L94" s="3">
        <v>30000</v>
      </c>
      <c r="M94" s="2">
        <v>0</v>
      </c>
      <c r="N94" s="3">
        <v>240000</v>
      </c>
      <c r="O94" s="3">
        <v>168000</v>
      </c>
      <c r="P94" s="3">
        <v>72000</v>
      </c>
      <c r="Q94" t="s">
        <v>83</v>
      </c>
      <c r="R94" t="s">
        <v>49</v>
      </c>
      <c r="S94" t="s">
        <v>59</v>
      </c>
    </row>
    <row r="95" spans="1:19" x14ac:dyDescent="0.3">
      <c r="A95">
        <v>94</v>
      </c>
      <c r="B95" t="s">
        <v>339</v>
      </c>
      <c r="C95" t="s">
        <v>340</v>
      </c>
      <c r="D95" t="s">
        <v>341</v>
      </c>
      <c r="E95" t="s">
        <v>109</v>
      </c>
      <c r="F95" t="s">
        <v>54</v>
      </c>
      <c r="G95" t="s">
        <v>55</v>
      </c>
      <c r="H95" t="s">
        <v>56</v>
      </c>
      <c r="I95" t="s">
        <v>38</v>
      </c>
      <c r="J95" t="s">
        <v>39</v>
      </c>
      <c r="K95" s="2">
        <v>5</v>
      </c>
      <c r="L95" s="3">
        <v>4500</v>
      </c>
      <c r="M95" s="2">
        <v>10</v>
      </c>
      <c r="N95" s="3">
        <v>20250</v>
      </c>
      <c r="O95" s="3">
        <v>13000</v>
      </c>
      <c r="P95" s="3">
        <v>7250</v>
      </c>
      <c r="Q95" t="s">
        <v>48</v>
      </c>
      <c r="R95" t="s">
        <v>29</v>
      </c>
      <c r="S95" t="s">
        <v>41</v>
      </c>
    </row>
    <row r="96" spans="1:19" x14ac:dyDescent="0.3">
      <c r="A96">
        <v>95</v>
      </c>
      <c r="B96" t="s">
        <v>342</v>
      </c>
      <c r="C96" t="s">
        <v>343</v>
      </c>
      <c r="D96" t="s">
        <v>344</v>
      </c>
      <c r="E96" t="s">
        <v>22</v>
      </c>
      <c r="F96" t="s">
        <v>104</v>
      </c>
      <c r="G96" t="s">
        <v>105</v>
      </c>
      <c r="H96" t="s">
        <v>56</v>
      </c>
      <c r="I96" t="s">
        <v>95</v>
      </c>
      <c r="J96" t="s">
        <v>39</v>
      </c>
      <c r="K96" s="2">
        <v>8</v>
      </c>
      <c r="L96" s="3">
        <v>1200</v>
      </c>
      <c r="M96" s="2">
        <v>10</v>
      </c>
      <c r="N96" s="3">
        <v>8640</v>
      </c>
      <c r="O96" s="3">
        <v>5200</v>
      </c>
      <c r="P96" s="3">
        <v>3440</v>
      </c>
      <c r="Q96" t="s">
        <v>58</v>
      </c>
      <c r="R96" t="s">
        <v>84</v>
      </c>
      <c r="S96" t="s">
        <v>30</v>
      </c>
    </row>
    <row r="97" spans="1:19" x14ac:dyDescent="0.3">
      <c r="A97">
        <v>96</v>
      </c>
      <c r="B97" t="s">
        <v>345</v>
      </c>
      <c r="C97" t="s">
        <v>346</v>
      </c>
      <c r="D97" t="s">
        <v>347</v>
      </c>
      <c r="E97" t="s">
        <v>22</v>
      </c>
      <c r="F97" t="s">
        <v>167</v>
      </c>
      <c r="G97" t="s">
        <v>168</v>
      </c>
      <c r="H97" t="s">
        <v>169</v>
      </c>
      <c r="I97" t="s">
        <v>26</v>
      </c>
      <c r="J97" t="s">
        <v>27</v>
      </c>
      <c r="K97" s="2">
        <v>2</v>
      </c>
      <c r="L97" s="3">
        <v>55000</v>
      </c>
      <c r="M97" s="2">
        <v>5</v>
      </c>
      <c r="N97" s="3">
        <v>104500</v>
      </c>
      <c r="O97" s="3">
        <v>76000</v>
      </c>
      <c r="P97" s="3">
        <v>28500</v>
      </c>
      <c r="Q97" t="s">
        <v>58</v>
      </c>
      <c r="R97" t="s">
        <v>84</v>
      </c>
      <c r="S97" t="s">
        <v>41</v>
      </c>
    </row>
    <row r="98" spans="1:19" x14ac:dyDescent="0.3">
      <c r="A98">
        <v>97</v>
      </c>
      <c r="B98" t="s">
        <v>348</v>
      </c>
      <c r="C98" t="s">
        <v>349</v>
      </c>
      <c r="D98" t="s">
        <v>350</v>
      </c>
      <c r="E98" t="s">
        <v>91</v>
      </c>
      <c r="F98" t="s">
        <v>35</v>
      </c>
      <c r="G98" t="s">
        <v>36</v>
      </c>
      <c r="H98" t="s">
        <v>37</v>
      </c>
      <c r="I98" t="s">
        <v>73</v>
      </c>
      <c r="J98" t="s">
        <v>47</v>
      </c>
      <c r="K98" s="2">
        <v>6</v>
      </c>
      <c r="L98" s="3">
        <v>12000</v>
      </c>
      <c r="M98" s="2">
        <v>5</v>
      </c>
      <c r="N98" s="3">
        <v>68400</v>
      </c>
      <c r="O98" s="3">
        <v>48000</v>
      </c>
      <c r="P98" s="3">
        <v>20400</v>
      </c>
      <c r="Q98" t="s">
        <v>58</v>
      </c>
      <c r="R98" t="s">
        <v>84</v>
      </c>
      <c r="S98" t="s">
        <v>30</v>
      </c>
    </row>
    <row r="99" spans="1:19" x14ac:dyDescent="0.3">
      <c r="A99">
        <v>98</v>
      </c>
      <c r="B99" t="s">
        <v>351</v>
      </c>
      <c r="C99" t="s">
        <v>352</v>
      </c>
      <c r="D99" t="s">
        <v>353</v>
      </c>
      <c r="E99" t="s">
        <v>124</v>
      </c>
      <c r="F99" t="s">
        <v>68</v>
      </c>
      <c r="G99" t="s">
        <v>81</v>
      </c>
      <c r="H99" t="s">
        <v>25</v>
      </c>
      <c r="I99" t="s">
        <v>38</v>
      </c>
      <c r="J99" t="s">
        <v>39</v>
      </c>
      <c r="K99" s="2">
        <v>8</v>
      </c>
      <c r="L99" s="3">
        <v>4500</v>
      </c>
      <c r="M99" s="2">
        <v>5</v>
      </c>
      <c r="N99" s="3">
        <v>34200</v>
      </c>
      <c r="O99" s="3">
        <v>20800</v>
      </c>
      <c r="P99" s="3">
        <v>13400</v>
      </c>
      <c r="Q99" t="s">
        <v>83</v>
      </c>
      <c r="R99" t="s">
        <v>29</v>
      </c>
      <c r="S99" t="s">
        <v>41</v>
      </c>
    </row>
    <row r="100" spans="1:19" x14ac:dyDescent="0.3">
      <c r="A100">
        <v>99</v>
      </c>
      <c r="B100" t="s">
        <v>354</v>
      </c>
      <c r="C100" t="s">
        <v>355</v>
      </c>
      <c r="D100" t="s">
        <v>356</v>
      </c>
      <c r="E100" t="s">
        <v>53</v>
      </c>
      <c r="F100" t="s">
        <v>23</v>
      </c>
      <c r="G100" t="s">
        <v>45</v>
      </c>
      <c r="H100" t="s">
        <v>25</v>
      </c>
      <c r="I100" t="s">
        <v>63</v>
      </c>
      <c r="J100" t="s">
        <v>39</v>
      </c>
      <c r="K100" s="2">
        <v>2</v>
      </c>
      <c r="L100" s="3">
        <v>2500</v>
      </c>
      <c r="M100" s="2">
        <v>10</v>
      </c>
      <c r="N100" s="3">
        <v>4500</v>
      </c>
      <c r="O100" s="3">
        <v>2800</v>
      </c>
      <c r="P100" s="3">
        <v>1700</v>
      </c>
      <c r="Q100" t="s">
        <v>28</v>
      </c>
      <c r="R100" t="s">
        <v>29</v>
      </c>
      <c r="S100" t="s">
        <v>30</v>
      </c>
    </row>
    <row r="101" spans="1:19" x14ac:dyDescent="0.3">
      <c r="A101">
        <v>100</v>
      </c>
      <c r="B101" t="s">
        <v>357</v>
      </c>
      <c r="C101" t="s">
        <v>358</v>
      </c>
      <c r="D101" t="s">
        <v>359</v>
      </c>
      <c r="E101" t="s">
        <v>124</v>
      </c>
      <c r="F101" t="s">
        <v>68</v>
      </c>
      <c r="G101" t="s">
        <v>69</v>
      </c>
      <c r="H101" t="s">
        <v>25</v>
      </c>
      <c r="I101" t="s">
        <v>38</v>
      </c>
      <c r="J101" t="s">
        <v>39</v>
      </c>
      <c r="K101" s="2">
        <v>10</v>
      </c>
      <c r="L101" s="3">
        <v>4500</v>
      </c>
      <c r="M101" s="2">
        <v>15</v>
      </c>
      <c r="N101" s="3">
        <v>38250</v>
      </c>
      <c r="O101" s="3">
        <v>26000</v>
      </c>
      <c r="P101" s="3">
        <v>12250</v>
      </c>
      <c r="Q101" t="s">
        <v>40</v>
      </c>
      <c r="R101" t="s">
        <v>29</v>
      </c>
      <c r="S101" t="s">
        <v>59</v>
      </c>
    </row>
    <row r="102" spans="1:19" x14ac:dyDescent="0.3">
      <c r="A102">
        <v>101</v>
      </c>
      <c r="B102" t="s">
        <v>74</v>
      </c>
      <c r="C102" t="s">
        <v>360</v>
      </c>
      <c r="D102" t="s">
        <v>361</v>
      </c>
      <c r="E102" t="s">
        <v>53</v>
      </c>
      <c r="F102" t="s">
        <v>68</v>
      </c>
      <c r="G102" t="s">
        <v>81</v>
      </c>
      <c r="H102" t="s">
        <v>25</v>
      </c>
      <c r="I102" t="s">
        <v>82</v>
      </c>
      <c r="J102" t="s">
        <v>27</v>
      </c>
      <c r="K102" s="2">
        <v>5</v>
      </c>
      <c r="L102" s="3">
        <v>30000</v>
      </c>
      <c r="M102" s="2">
        <v>0</v>
      </c>
      <c r="N102" s="3">
        <v>150000</v>
      </c>
      <c r="O102" s="3">
        <v>105000</v>
      </c>
      <c r="P102" s="3">
        <v>45000</v>
      </c>
      <c r="Q102" t="s">
        <v>83</v>
      </c>
      <c r="R102" t="s">
        <v>29</v>
      </c>
      <c r="S102" t="s">
        <v>41</v>
      </c>
    </row>
    <row r="103" spans="1:19" x14ac:dyDescent="0.3">
      <c r="A103">
        <v>102</v>
      </c>
      <c r="B103" t="s">
        <v>362</v>
      </c>
      <c r="C103" t="s">
        <v>363</v>
      </c>
      <c r="D103" t="s">
        <v>364</v>
      </c>
      <c r="E103" t="s">
        <v>99</v>
      </c>
      <c r="F103" t="s">
        <v>68</v>
      </c>
      <c r="G103" t="s">
        <v>69</v>
      </c>
      <c r="H103" t="s">
        <v>25</v>
      </c>
      <c r="I103" t="s">
        <v>38</v>
      </c>
      <c r="J103" t="s">
        <v>39</v>
      </c>
      <c r="K103" s="2">
        <v>3</v>
      </c>
      <c r="L103" s="3">
        <v>4500</v>
      </c>
      <c r="M103" s="2">
        <v>10</v>
      </c>
      <c r="N103" s="3">
        <v>12150</v>
      </c>
      <c r="O103" s="3">
        <v>7800</v>
      </c>
      <c r="P103" s="3">
        <v>4350</v>
      </c>
      <c r="Q103" t="s">
        <v>40</v>
      </c>
      <c r="R103" t="s">
        <v>29</v>
      </c>
      <c r="S103" t="s">
        <v>30</v>
      </c>
    </row>
    <row r="104" spans="1:19" x14ac:dyDescent="0.3">
      <c r="A104">
        <v>103</v>
      </c>
      <c r="B104" t="s">
        <v>365</v>
      </c>
      <c r="C104" t="s">
        <v>366</v>
      </c>
      <c r="D104" t="s">
        <v>367</v>
      </c>
      <c r="E104" t="s">
        <v>53</v>
      </c>
      <c r="F104" t="s">
        <v>167</v>
      </c>
      <c r="G104" t="s">
        <v>168</v>
      </c>
      <c r="H104" t="s">
        <v>169</v>
      </c>
      <c r="I104" t="s">
        <v>100</v>
      </c>
      <c r="J104" t="s">
        <v>39</v>
      </c>
      <c r="K104" s="2">
        <v>8</v>
      </c>
      <c r="L104" s="3">
        <v>3500</v>
      </c>
      <c r="M104" s="2">
        <v>5</v>
      </c>
      <c r="N104" s="3">
        <v>26600</v>
      </c>
      <c r="O104" s="3">
        <v>15200</v>
      </c>
      <c r="P104" s="3">
        <v>11400</v>
      </c>
      <c r="Q104" t="s">
        <v>40</v>
      </c>
      <c r="R104" t="s">
        <v>49</v>
      </c>
      <c r="S104" t="s">
        <v>59</v>
      </c>
    </row>
    <row r="105" spans="1:19" x14ac:dyDescent="0.3">
      <c r="A105">
        <v>104</v>
      </c>
      <c r="B105" t="s">
        <v>239</v>
      </c>
      <c r="C105" t="s">
        <v>368</v>
      </c>
      <c r="D105" t="s">
        <v>369</v>
      </c>
      <c r="E105" t="s">
        <v>109</v>
      </c>
      <c r="F105" t="s">
        <v>23</v>
      </c>
      <c r="G105" t="s">
        <v>24</v>
      </c>
      <c r="H105" t="s">
        <v>25</v>
      </c>
      <c r="I105" t="s">
        <v>95</v>
      </c>
      <c r="J105" t="s">
        <v>39</v>
      </c>
      <c r="K105" s="2">
        <v>8</v>
      </c>
      <c r="L105" s="3">
        <v>1200</v>
      </c>
      <c r="M105" s="2">
        <v>0</v>
      </c>
      <c r="N105" s="3">
        <v>9600</v>
      </c>
      <c r="O105" s="3">
        <v>5200</v>
      </c>
      <c r="P105" s="3">
        <v>4400</v>
      </c>
      <c r="Q105" t="s">
        <v>28</v>
      </c>
      <c r="R105" t="s">
        <v>29</v>
      </c>
      <c r="S105" t="s">
        <v>30</v>
      </c>
    </row>
    <row r="106" spans="1:19" x14ac:dyDescent="0.3">
      <c r="A106">
        <v>105</v>
      </c>
      <c r="B106" t="s">
        <v>370</v>
      </c>
      <c r="C106" t="s">
        <v>371</v>
      </c>
      <c r="D106" t="s">
        <v>372</v>
      </c>
      <c r="E106" t="s">
        <v>34</v>
      </c>
      <c r="F106" t="s">
        <v>23</v>
      </c>
      <c r="G106" t="s">
        <v>24</v>
      </c>
      <c r="H106" t="s">
        <v>25</v>
      </c>
      <c r="I106" t="s">
        <v>144</v>
      </c>
      <c r="J106" t="s">
        <v>27</v>
      </c>
      <c r="K106" s="2">
        <v>2</v>
      </c>
      <c r="L106" s="3">
        <v>14000</v>
      </c>
      <c r="M106" s="2">
        <v>10</v>
      </c>
      <c r="N106" s="3">
        <v>25200</v>
      </c>
      <c r="O106" s="3">
        <v>19000</v>
      </c>
      <c r="P106" s="3">
        <v>6200</v>
      </c>
      <c r="Q106" t="s">
        <v>48</v>
      </c>
      <c r="R106" t="s">
        <v>84</v>
      </c>
      <c r="S106" t="s">
        <v>30</v>
      </c>
    </row>
    <row r="107" spans="1:19" x14ac:dyDescent="0.3">
      <c r="A107">
        <v>106</v>
      </c>
      <c r="B107" t="s">
        <v>373</v>
      </c>
      <c r="C107" t="s">
        <v>374</v>
      </c>
      <c r="D107" t="s">
        <v>375</v>
      </c>
      <c r="E107" t="s">
        <v>124</v>
      </c>
      <c r="F107" t="s">
        <v>125</v>
      </c>
      <c r="G107" t="s">
        <v>126</v>
      </c>
      <c r="H107" t="s">
        <v>56</v>
      </c>
      <c r="I107" t="s">
        <v>95</v>
      </c>
      <c r="J107" t="s">
        <v>39</v>
      </c>
      <c r="K107" s="2">
        <v>8</v>
      </c>
      <c r="L107" s="3">
        <v>1200</v>
      </c>
      <c r="M107" s="2">
        <v>5</v>
      </c>
      <c r="N107" s="3">
        <v>9120</v>
      </c>
      <c r="O107" s="3">
        <v>5200</v>
      </c>
      <c r="P107" s="3">
        <v>3920</v>
      </c>
      <c r="Q107" t="s">
        <v>48</v>
      </c>
      <c r="R107" t="s">
        <v>49</v>
      </c>
      <c r="S107" t="s">
        <v>59</v>
      </c>
    </row>
    <row r="108" spans="1:19" x14ac:dyDescent="0.3">
      <c r="A108">
        <v>107</v>
      </c>
      <c r="B108" t="s">
        <v>376</v>
      </c>
      <c r="C108" t="s">
        <v>377</v>
      </c>
      <c r="D108" t="s">
        <v>378</v>
      </c>
      <c r="E108" t="s">
        <v>67</v>
      </c>
      <c r="F108" t="s">
        <v>54</v>
      </c>
      <c r="G108" t="s">
        <v>55</v>
      </c>
      <c r="H108" t="s">
        <v>56</v>
      </c>
      <c r="I108" t="s">
        <v>26</v>
      </c>
      <c r="J108" t="s">
        <v>27</v>
      </c>
      <c r="K108" s="2">
        <v>10</v>
      </c>
      <c r="L108" s="3">
        <v>55000</v>
      </c>
      <c r="M108" s="2">
        <v>10</v>
      </c>
      <c r="N108" s="3">
        <v>495000</v>
      </c>
      <c r="O108" s="3">
        <v>380000</v>
      </c>
      <c r="P108" s="3">
        <v>115000</v>
      </c>
      <c r="Q108" t="s">
        <v>28</v>
      </c>
      <c r="R108" t="s">
        <v>84</v>
      </c>
      <c r="S108" t="s">
        <v>41</v>
      </c>
    </row>
    <row r="109" spans="1:19" x14ac:dyDescent="0.3">
      <c r="A109">
        <v>108</v>
      </c>
      <c r="B109" t="s">
        <v>121</v>
      </c>
      <c r="C109" t="s">
        <v>379</v>
      </c>
      <c r="D109" t="s">
        <v>380</v>
      </c>
      <c r="E109" t="s">
        <v>53</v>
      </c>
      <c r="F109" t="s">
        <v>35</v>
      </c>
      <c r="G109" t="s">
        <v>36</v>
      </c>
      <c r="H109" t="s">
        <v>37</v>
      </c>
      <c r="I109" t="s">
        <v>77</v>
      </c>
      <c r="J109" t="s">
        <v>27</v>
      </c>
      <c r="K109" s="2">
        <v>3</v>
      </c>
      <c r="L109" s="3">
        <v>22000</v>
      </c>
      <c r="M109" s="2">
        <v>0</v>
      </c>
      <c r="N109" s="3">
        <v>66000</v>
      </c>
      <c r="O109" s="3">
        <v>46500</v>
      </c>
      <c r="P109" s="3">
        <v>19500</v>
      </c>
      <c r="Q109" t="s">
        <v>48</v>
      </c>
      <c r="R109" t="s">
        <v>29</v>
      </c>
      <c r="S109" t="s">
        <v>41</v>
      </c>
    </row>
    <row r="110" spans="1:19" x14ac:dyDescent="0.3">
      <c r="A110">
        <v>109</v>
      </c>
      <c r="B110" t="s">
        <v>381</v>
      </c>
      <c r="C110" t="s">
        <v>382</v>
      </c>
      <c r="D110" t="s">
        <v>383</v>
      </c>
      <c r="E110" t="s">
        <v>99</v>
      </c>
      <c r="F110" t="s">
        <v>177</v>
      </c>
      <c r="G110" t="s">
        <v>178</v>
      </c>
      <c r="H110" t="s">
        <v>169</v>
      </c>
      <c r="I110" t="s">
        <v>100</v>
      </c>
      <c r="J110" t="s">
        <v>39</v>
      </c>
      <c r="K110" s="2">
        <v>12</v>
      </c>
      <c r="L110" s="3">
        <v>3500</v>
      </c>
      <c r="M110" s="2">
        <v>10</v>
      </c>
      <c r="N110" s="3">
        <v>37800</v>
      </c>
      <c r="O110" s="3">
        <v>22800</v>
      </c>
      <c r="P110" s="3">
        <v>15000</v>
      </c>
      <c r="Q110" t="s">
        <v>83</v>
      </c>
      <c r="R110" t="s">
        <v>29</v>
      </c>
      <c r="S110" t="s">
        <v>41</v>
      </c>
    </row>
    <row r="111" spans="1:19" x14ac:dyDescent="0.3">
      <c r="A111">
        <v>110</v>
      </c>
      <c r="B111" t="s">
        <v>179</v>
      </c>
      <c r="C111" t="s">
        <v>384</v>
      </c>
      <c r="D111" t="s">
        <v>385</v>
      </c>
      <c r="E111" t="s">
        <v>99</v>
      </c>
      <c r="F111" t="s">
        <v>104</v>
      </c>
      <c r="G111" t="s">
        <v>105</v>
      </c>
      <c r="H111" t="s">
        <v>56</v>
      </c>
      <c r="I111" t="s">
        <v>57</v>
      </c>
      <c r="J111" t="s">
        <v>27</v>
      </c>
      <c r="K111" s="2">
        <v>12</v>
      </c>
      <c r="L111" s="3">
        <v>18000</v>
      </c>
      <c r="M111" s="2">
        <v>15</v>
      </c>
      <c r="N111" s="3">
        <v>183600</v>
      </c>
      <c r="O111" s="3">
        <v>150000</v>
      </c>
      <c r="P111" s="3">
        <v>33600</v>
      </c>
      <c r="Q111" t="s">
        <v>40</v>
      </c>
      <c r="R111" t="s">
        <v>84</v>
      </c>
      <c r="S111" t="s">
        <v>41</v>
      </c>
    </row>
    <row r="112" spans="1:19" x14ac:dyDescent="0.3">
      <c r="A112">
        <v>111</v>
      </c>
      <c r="B112" t="s">
        <v>386</v>
      </c>
      <c r="C112" t="s">
        <v>387</v>
      </c>
      <c r="D112" t="s">
        <v>388</v>
      </c>
      <c r="E112" t="s">
        <v>22</v>
      </c>
      <c r="F112" t="s">
        <v>68</v>
      </c>
      <c r="G112" t="s">
        <v>69</v>
      </c>
      <c r="H112" t="s">
        <v>25</v>
      </c>
      <c r="I112" t="s">
        <v>157</v>
      </c>
      <c r="J112" t="s">
        <v>47</v>
      </c>
      <c r="K112" s="2">
        <v>10</v>
      </c>
      <c r="L112" s="3">
        <v>15000</v>
      </c>
      <c r="M112" s="2">
        <v>10</v>
      </c>
      <c r="N112" s="3">
        <v>135000</v>
      </c>
      <c r="O112" s="3">
        <v>100000</v>
      </c>
      <c r="P112" s="3">
        <v>35000</v>
      </c>
      <c r="Q112" t="s">
        <v>58</v>
      </c>
      <c r="R112" t="s">
        <v>29</v>
      </c>
      <c r="S112" t="s">
        <v>30</v>
      </c>
    </row>
    <row r="113" spans="1:19" x14ac:dyDescent="0.3">
      <c r="A113">
        <v>112</v>
      </c>
      <c r="B113" t="s">
        <v>373</v>
      </c>
      <c r="C113" t="s">
        <v>389</v>
      </c>
      <c r="D113" t="s">
        <v>390</v>
      </c>
      <c r="E113" t="s">
        <v>53</v>
      </c>
      <c r="F113" t="s">
        <v>35</v>
      </c>
      <c r="G113" t="s">
        <v>36</v>
      </c>
      <c r="H113" t="s">
        <v>37</v>
      </c>
      <c r="I113" t="s">
        <v>82</v>
      </c>
      <c r="J113" t="s">
        <v>27</v>
      </c>
      <c r="K113" s="2">
        <v>5</v>
      </c>
      <c r="L113" s="3">
        <v>30000</v>
      </c>
      <c r="M113" s="2">
        <v>15</v>
      </c>
      <c r="N113" s="3">
        <v>127500</v>
      </c>
      <c r="O113" s="3">
        <v>105000</v>
      </c>
      <c r="P113" s="3">
        <v>22500</v>
      </c>
      <c r="Q113" t="s">
        <v>40</v>
      </c>
      <c r="R113" t="s">
        <v>29</v>
      </c>
      <c r="S113" t="s">
        <v>41</v>
      </c>
    </row>
    <row r="114" spans="1:19" x14ac:dyDescent="0.3">
      <c r="A114">
        <v>113</v>
      </c>
      <c r="B114" t="s">
        <v>391</v>
      </c>
      <c r="C114" t="s">
        <v>392</v>
      </c>
      <c r="D114" t="s">
        <v>393</v>
      </c>
      <c r="E114" t="s">
        <v>124</v>
      </c>
      <c r="F114" t="s">
        <v>68</v>
      </c>
      <c r="G114" t="s">
        <v>69</v>
      </c>
      <c r="H114" t="s">
        <v>25</v>
      </c>
      <c r="I114" t="s">
        <v>73</v>
      </c>
      <c r="J114" t="s">
        <v>47</v>
      </c>
      <c r="K114" s="2">
        <v>12</v>
      </c>
      <c r="L114" s="3">
        <v>12000</v>
      </c>
      <c r="M114" s="2">
        <v>15</v>
      </c>
      <c r="N114" s="3">
        <v>122400</v>
      </c>
      <c r="O114" s="3">
        <v>96000</v>
      </c>
      <c r="P114" s="3">
        <v>26400</v>
      </c>
      <c r="Q114" t="s">
        <v>58</v>
      </c>
      <c r="R114" t="s">
        <v>29</v>
      </c>
      <c r="S114" t="s">
        <v>59</v>
      </c>
    </row>
    <row r="115" spans="1:19" x14ac:dyDescent="0.3">
      <c r="A115">
        <v>114</v>
      </c>
      <c r="B115" t="s">
        <v>138</v>
      </c>
      <c r="C115" t="s">
        <v>394</v>
      </c>
      <c r="D115" t="s">
        <v>395</v>
      </c>
      <c r="E115" t="s">
        <v>99</v>
      </c>
      <c r="F115" t="s">
        <v>68</v>
      </c>
      <c r="G115" t="s">
        <v>69</v>
      </c>
      <c r="H115" t="s">
        <v>25</v>
      </c>
      <c r="I115" t="s">
        <v>38</v>
      </c>
      <c r="J115" t="s">
        <v>39</v>
      </c>
      <c r="K115" s="2">
        <v>7</v>
      </c>
      <c r="L115" s="3">
        <v>4500</v>
      </c>
      <c r="M115" s="2">
        <v>5</v>
      </c>
      <c r="N115" s="3">
        <v>29925</v>
      </c>
      <c r="O115" s="3">
        <v>18200</v>
      </c>
      <c r="P115" s="3">
        <v>11725</v>
      </c>
      <c r="Q115" t="s">
        <v>58</v>
      </c>
      <c r="R115" t="s">
        <v>29</v>
      </c>
      <c r="S115" t="s">
        <v>30</v>
      </c>
    </row>
    <row r="116" spans="1:19" x14ac:dyDescent="0.3">
      <c r="A116">
        <v>115</v>
      </c>
      <c r="B116" t="s">
        <v>396</v>
      </c>
      <c r="C116" t="s">
        <v>397</v>
      </c>
      <c r="D116" t="s">
        <v>398</v>
      </c>
      <c r="E116" t="s">
        <v>124</v>
      </c>
      <c r="F116" t="s">
        <v>177</v>
      </c>
      <c r="G116" t="s">
        <v>178</v>
      </c>
      <c r="H116" t="s">
        <v>169</v>
      </c>
      <c r="I116" t="s">
        <v>38</v>
      </c>
      <c r="J116" t="s">
        <v>39</v>
      </c>
      <c r="K116" s="2">
        <v>6</v>
      </c>
      <c r="L116" s="3">
        <v>4500</v>
      </c>
      <c r="M116" s="2">
        <v>10</v>
      </c>
      <c r="N116" s="3">
        <v>24300</v>
      </c>
      <c r="O116" s="3">
        <v>15600</v>
      </c>
      <c r="P116" s="3">
        <v>8700</v>
      </c>
      <c r="Q116" t="s">
        <v>40</v>
      </c>
      <c r="R116" t="s">
        <v>29</v>
      </c>
      <c r="S116" t="s">
        <v>41</v>
      </c>
    </row>
    <row r="117" spans="1:19" x14ac:dyDescent="0.3">
      <c r="A117">
        <v>116</v>
      </c>
      <c r="B117" t="s">
        <v>399</v>
      </c>
      <c r="C117" t="s">
        <v>400</v>
      </c>
      <c r="D117" t="s">
        <v>401</v>
      </c>
      <c r="E117" t="s">
        <v>124</v>
      </c>
      <c r="F117" t="s">
        <v>54</v>
      </c>
      <c r="G117" t="s">
        <v>55</v>
      </c>
      <c r="H117" t="s">
        <v>56</v>
      </c>
      <c r="I117" t="s">
        <v>73</v>
      </c>
      <c r="J117" t="s">
        <v>47</v>
      </c>
      <c r="K117" s="2">
        <v>1</v>
      </c>
      <c r="L117" s="3">
        <v>12000</v>
      </c>
      <c r="M117" s="2">
        <v>15</v>
      </c>
      <c r="N117" s="3">
        <v>10200</v>
      </c>
      <c r="O117" s="3">
        <v>8000</v>
      </c>
      <c r="P117" s="3">
        <v>2200</v>
      </c>
      <c r="Q117" t="s">
        <v>48</v>
      </c>
      <c r="R117" t="s">
        <v>29</v>
      </c>
      <c r="S117" t="s">
        <v>41</v>
      </c>
    </row>
    <row r="118" spans="1:19" x14ac:dyDescent="0.3">
      <c r="A118">
        <v>117</v>
      </c>
      <c r="B118" t="s">
        <v>402</v>
      </c>
      <c r="C118" t="s">
        <v>403</v>
      </c>
      <c r="D118" t="s">
        <v>404</v>
      </c>
      <c r="E118" t="s">
        <v>53</v>
      </c>
      <c r="F118" t="s">
        <v>125</v>
      </c>
      <c r="G118" t="s">
        <v>126</v>
      </c>
      <c r="H118" t="s">
        <v>56</v>
      </c>
      <c r="I118" t="s">
        <v>157</v>
      </c>
      <c r="J118" t="s">
        <v>47</v>
      </c>
      <c r="K118" s="2">
        <v>8</v>
      </c>
      <c r="L118" s="3">
        <v>15000</v>
      </c>
      <c r="M118" s="2">
        <v>5</v>
      </c>
      <c r="N118" s="3">
        <v>114000</v>
      </c>
      <c r="O118" s="3">
        <v>80000</v>
      </c>
      <c r="P118" s="3">
        <v>34000</v>
      </c>
      <c r="Q118" t="s">
        <v>48</v>
      </c>
      <c r="R118" t="s">
        <v>49</v>
      </c>
      <c r="S118" t="s">
        <v>30</v>
      </c>
    </row>
    <row r="119" spans="1:19" x14ac:dyDescent="0.3">
      <c r="A119">
        <v>118</v>
      </c>
      <c r="B119" t="s">
        <v>405</v>
      </c>
      <c r="C119" t="s">
        <v>406</v>
      </c>
      <c r="D119" t="s">
        <v>407</v>
      </c>
      <c r="E119" t="s">
        <v>34</v>
      </c>
      <c r="F119" t="s">
        <v>167</v>
      </c>
      <c r="G119" t="s">
        <v>168</v>
      </c>
      <c r="H119" t="s">
        <v>169</v>
      </c>
      <c r="I119" t="s">
        <v>77</v>
      </c>
      <c r="J119" t="s">
        <v>27</v>
      </c>
      <c r="K119" s="2">
        <v>8</v>
      </c>
      <c r="L119" s="3">
        <v>22000</v>
      </c>
      <c r="M119" s="2">
        <v>5</v>
      </c>
      <c r="N119" s="3">
        <v>167200</v>
      </c>
      <c r="O119" s="3">
        <v>124000</v>
      </c>
      <c r="P119" s="3">
        <v>43200</v>
      </c>
      <c r="Q119" t="s">
        <v>83</v>
      </c>
      <c r="R119" t="s">
        <v>49</v>
      </c>
      <c r="S119" t="s">
        <v>30</v>
      </c>
    </row>
    <row r="120" spans="1:19" x14ac:dyDescent="0.3">
      <c r="A120">
        <v>119</v>
      </c>
      <c r="B120" t="s">
        <v>31</v>
      </c>
      <c r="C120" t="s">
        <v>408</v>
      </c>
      <c r="D120" t="s">
        <v>409</v>
      </c>
      <c r="E120" t="s">
        <v>99</v>
      </c>
      <c r="F120" t="s">
        <v>23</v>
      </c>
      <c r="G120" t="s">
        <v>110</v>
      </c>
      <c r="H120" t="s">
        <v>111</v>
      </c>
      <c r="I120" t="s">
        <v>63</v>
      </c>
      <c r="J120" t="s">
        <v>39</v>
      </c>
      <c r="K120" s="2">
        <v>7</v>
      </c>
      <c r="L120" s="3">
        <v>2500</v>
      </c>
      <c r="M120" s="2">
        <v>10</v>
      </c>
      <c r="N120" s="3">
        <v>15750</v>
      </c>
      <c r="O120" s="3">
        <v>9800</v>
      </c>
      <c r="P120" s="3">
        <v>5950</v>
      </c>
      <c r="Q120" t="s">
        <v>83</v>
      </c>
      <c r="R120" t="s">
        <v>84</v>
      </c>
      <c r="S120" t="s">
        <v>59</v>
      </c>
    </row>
    <row r="121" spans="1:19" x14ac:dyDescent="0.3">
      <c r="A121">
        <v>120</v>
      </c>
      <c r="B121" t="s">
        <v>405</v>
      </c>
      <c r="C121" t="s">
        <v>410</v>
      </c>
      <c r="D121" t="s">
        <v>411</v>
      </c>
      <c r="E121" t="s">
        <v>91</v>
      </c>
      <c r="F121" t="s">
        <v>125</v>
      </c>
      <c r="G121" t="s">
        <v>126</v>
      </c>
      <c r="H121" t="s">
        <v>56</v>
      </c>
      <c r="I121" t="s">
        <v>26</v>
      </c>
      <c r="J121" t="s">
        <v>27</v>
      </c>
      <c r="K121" s="2">
        <v>8</v>
      </c>
      <c r="L121" s="3">
        <v>55000</v>
      </c>
      <c r="M121" s="2">
        <v>0</v>
      </c>
      <c r="N121" s="3">
        <v>440000</v>
      </c>
      <c r="O121" s="3">
        <v>304000</v>
      </c>
      <c r="P121" s="3">
        <v>136000</v>
      </c>
      <c r="Q121" t="s">
        <v>83</v>
      </c>
      <c r="R121" t="s">
        <v>49</v>
      </c>
      <c r="S121" t="s">
        <v>41</v>
      </c>
    </row>
    <row r="122" spans="1:19" x14ac:dyDescent="0.3">
      <c r="A122">
        <v>121</v>
      </c>
      <c r="B122" t="s">
        <v>214</v>
      </c>
      <c r="C122" t="s">
        <v>412</v>
      </c>
      <c r="D122" t="s">
        <v>413</v>
      </c>
      <c r="E122" t="s">
        <v>99</v>
      </c>
      <c r="F122" t="s">
        <v>177</v>
      </c>
      <c r="G122" t="s">
        <v>178</v>
      </c>
      <c r="H122" t="s">
        <v>169</v>
      </c>
      <c r="I122" t="s">
        <v>46</v>
      </c>
      <c r="J122" t="s">
        <v>47</v>
      </c>
      <c r="K122" s="2">
        <v>1</v>
      </c>
      <c r="L122" s="3">
        <v>8500</v>
      </c>
      <c r="M122" s="2">
        <v>10</v>
      </c>
      <c r="N122" s="3">
        <v>7650</v>
      </c>
      <c r="O122" s="3">
        <v>5600</v>
      </c>
      <c r="P122" s="3">
        <v>2050</v>
      </c>
      <c r="Q122" t="s">
        <v>58</v>
      </c>
      <c r="R122" t="s">
        <v>29</v>
      </c>
      <c r="S122" t="s">
        <v>41</v>
      </c>
    </row>
    <row r="123" spans="1:19" x14ac:dyDescent="0.3">
      <c r="A123">
        <v>122</v>
      </c>
      <c r="B123" t="s">
        <v>414</v>
      </c>
      <c r="C123" t="s">
        <v>415</v>
      </c>
      <c r="D123" t="s">
        <v>416</v>
      </c>
      <c r="E123" t="s">
        <v>99</v>
      </c>
      <c r="F123" t="s">
        <v>68</v>
      </c>
      <c r="G123" t="s">
        <v>81</v>
      </c>
      <c r="H123" t="s">
        <v>25</v>
      </c>
      <c r="I123" t="s">
        <v>73</v>
      </c>
      <c r="J123" t="s">
        <v>47</v>
      </c>
      <c r="K123" s="2">
        <v>8</v>
      </c>
      <c r="L123" s="3">
        <v>12000</v>
      </c>
      <c r="M123" s="2">
        <v>10</v>
      </c>
      <c r="N123" s="3">
        <v>86400</v>
      </c>
      <c r="O123" s="3">
        <v>64000</v>
      </c>
      <c r="P123" s="3">
        <v>22400</v>
      </c>
      <c r="Q123" t="s">
        <v>40</v>
      </c>
      <c r="R123" t="s">
        <v>29</v>
      </c>
      <c r="S123" t="s">
        <v>59</v>
      </c>
    </row>
    <row r="124" spans="1:19" x14ac:dyDescent="0.3">
      <c r="A124">
        <v>123</v>
      </c>
      <c r="B124" t="s">
        <v>135</v>
      </c>
      <c r="C124" t="s">
        <v>417</v>
      </c>
      <c r="D124" t="s">
        <v>418</v>
      </c>
      <c r="E124" t="s">
        <v>99</v>
      </c>
      <c r="F124" t="s">
        <v>23</v>
      </c>
      <c r="G124" t="s">
        <v>110</v>
      </c>
      <c r="H124" t="s">
        <v>111</v>
      </c>
      <c r="I124" t="s">
        <v>57</v>
      </c>
      <c r="J124" t="s">
        <v>27</v>
      </c>
      <c r="K124" s="2">
        <v>8</v>
      </c>
      <c r="L124" s="3">
        <v>18000</v>
      </c>
      <c r="M124" s="2">
        <v>10</v>
      </c>
      <c r="N124" s="3">
        <v>129600</v>
      </c>
      <c r="O124" s="3">
        <v>100000</v>
      </c>
      <c r="P124" s="3">
        <v>29600</v>
      </c>
      <c r="Q124" t="s">
        <v>40</v>
      </c>
      <c r="R124" t="s">
        <v>29</v>
      </c>
      <c r="S124" t="s">
        <v>30</v>
      </c>
    </row>
    <row r="125" spans="1:19" x14ac:dyDescent="0.3">
      <c r="A125">
        <v>124</v>
      </c>
      <c r="B125" t="s">
        <v>419</v>
      </c>
      <c r="C125" t="s">
        <v>420</v>
      </c>
      <c r="D125" t="s">
        <v>421</v>
      </c>
      <c r="E125" t="s">
        <v>109</v>
      </c>
      <c r="F125" t="s">
        <v>23</v>
      </c>
      <c r="G125" t="s">
        <v>45</v>
      </c>
      <c r="H125" t="s">
        <v>25</v>
      </c>
      <c r="I125" t="s">
        <v>38</v>
      </c>
      <c r="J125" t="s">
        <v>39</v>
      </c>
      <c r="K125" s="2">
        <v>3</v>
      </c>
      <c r="L125" s="3">
        <v>4500</v>
      </c>
      <c r="M125" s="2">
        <v>5</v>
      </c>
      <c r="N125" s="3">
        <v>12825</v>
      </c>
      <c r="O125" s="3">
        <v>7800</v>
      </c>
      <c r="P125" s="3">
        <v>5025</v>
      </c>
      <c r="Q125" t="s">
        <v>48</v>
      </c>
      <c r="R125" t="s">
        <v>49</v>
      </c>
      <c r="S125" t="s">
        <v>41</v>
      </c>
    </row>
    <row r="126" spans="1:19" x14ac:dyDescent="0.3">
      <c r="A126">
        <v>125</v>
      </c>
      <c r="B126" t="s">
        <v>373</v>
      </c>
      <c r="C126" t="s">
        <v>422</v>
      </c>
      <c r="D126" t="s">
        <v>423</v>
      </c>
      <c r="E126" t="s">
        <v>53</v>
      </c>
      <c r="F126" t="s">
        <v>23</v>
      </c>
      <c r="G126" t="s">
        <v>24</v>
      </c>
      <c r="H126" t="s">
        <v>25</v>
      </c>
      <c r="I126" t="s">
        <v>100</v>
      </c>
      <c r="J126" t="s">
        <v>39</v>
      </c>
      <c r="K126" s="2">
        <v>2</v>
      </c>
      <c r="L126" s="3">
        <v>3500</v>
      </c>
      <c r="M126" s="2">
        <v>10</v>
      </c>
      <c r="N126" s="3">
        <v>6300</v>
      </c>
      <c r="O126" s="3">
        <v>3800</v>
      </c>
      <c r="P126" s="3">
        <v>2500</v>
      </c>
      <c r="Q126" t="s">
        <v>58</v>
      </c>
      <c r="R126" t="s">
        <v>84</v>
      </c>
      <c r="S126" t="s">
        <v>59</v>
      </c>
    </row>
    <row r="127" spans="1:19" x14ac:dyDescent="0.3">
      <c r="A127">
        <v>126</v>
      </c>
      <c r="B127" t="s">
        <v>424</v>
      </c>
      <c r="C127" t="s">
        <v>425</v>
      </c>
      <c r="D127" t="s">
        <v>426</v>
      </c>
      <c r="E127" t="s">
        <v>99</v>
      </c>
      <c r="F127" t="s">
        <v>104</v>
      </c>
      <c r="G127" t="s">
        <v>105</v>
      </c>
      <c r="H127" t="s">
        <v>56</v>
      </c>
      <c r="I127" t="s">
        <v>57</v>
      </c>
      <c r="J127" t="s">
        <v>27</v>
      </c>
      <c r="K127" s="2">
        <v>7</v>
      </c>
      <c r="L127" s="3">
        <v>18000</v>
      </c>
      <c r="M127" s="2">
        <v>15</v>
      </c>
      <c r="N127" s="3">
        <v>107100</v>
      </c>
      <c r="O127" s="3">
        <v>87500</v>
      </c>
      <c r="P127" s="3">
        <v>19600</v>
      </c>
      <c r="Q127" t="s">
        <v>58</v>
      </c>
      <c r="R127" t="s">
        <v>29</v>
      </c>
      <c r="S127" t="s">
        <v>59</v>
      </c>
    </row>
    <row r="128" spans="1:19" x14ac:dyDescent="0.3">
      <c r="A128">
        <v>127</v>
      </c>
      <c r="B128" t="s">
        <v>362</v>
      </c>
      <c r="C128" t="s">
        <v>427</v>
      </c>
      <c r="D128" t="s">
        <v>428</v>
      </c>
      <c r="E128" t="s">
        <v>53</v>
      </c>
      <c r="F128" t="s">
        <v>23</v>
      </c>
      <c r="G128" t="s">
        <v>110</v>
      </c>
      <c r="H128" t="s">
        <v>111</v>
      </c>
      <c r="I128" t="s">
        <v>95</v>
      </c>
      <c r="J128" t="s">
        <v>39</v>
      </c>
      <c r="K128" s="2">
        <v>4</v>
      </c>
      <c r="L128" s="3">
        <v>1200</v>
      </c>
      <c r="M128" s="2">
        <v>10</v>
      </c>
      <c r="N128" s="3">
        <v>4320</v>
      </c>
      <c r="O128" s="3">
        <v>2600</v>
      </c>
      <c r="P128" s="3">
        <v>1720</v>
      </c>
      <c r="Q128" t="s">
        <v>40</v>
      </c>
      <c r="R128" t="s">
        <v>49</v>
      </c>
      <c r="S128" t="s">
        <v>59</v>
      </c>
    </row>
    <row r="129" spans="1:19" x14ac:dyDescent="0.3">
      <c r="A129">
        <v>128</v>
      </c>
      <c r="B129" t="s">
        <v>118</v>
      </c>
      <c r="C129" t="s">
        <v>429</v>
      </c>
      <c r="D129" t="s">
        <v>430</v>
      </c>
      <c r="E129" t="s">
        <v>124</v>
      </c>
      <c r="F129" t="s">
        <v>125</v>
      </c>
      <c r="G129" t="s">
        <v>126</v>
      </c>
      <c r="H129" t="s">
        <v>56</v>
      </c>
      <c r="I129" t="s">
        <v>57</v>
      </c>
      <c r="J129" t="s">
        <v>27</v>
      </c>
      <c r="K129" s="2">
        <v>1</v>
      </c>
      <c r="L129" s="3">
        <v>18000</v>
      </c>
      <c r="M129" s="2">
        <v>5</v>
      </c>
      <c r="N129" s="3">
        <v>17100</v>
      </c>
      <c r="O129" s="3">
        <v>12500</v>
      </c>
      <c r="P129" s="3">
        <v>4600</v>
      </c>
      <c r="Q129" t="s">
        <v>48</v>
      </c>
      <c r="R129" t="s">
        <v>84</v>
      </c>
      <c r="S129" t="s">
        <v>30</v>
      </c>
    </row>
    <row r="130" spans="1:19" x14ac:dyDescent="0.3">
      <c r="A130">
        <v>129</v>
      </c>
      <c r="B130" t="s">
        <v>345</v>
      </c>
      <c r="C130" t="s">
        <v>431</v>
      </c>
      <c r="D130" t="s">
        <v>432</v>
      </c>
      <c r="E130" t="s">
        <v>91</v>
      </c>
      <c r="F130" t="s">
        <v>23</v>
      </c>
      <c r="G130" t="s">
        <v>110</v>
      </c>
      <c r="H130" t="s">
        <v>111</v>
      </c>
      <c r="I130" t="s">
        <v>100</v>
      </c>
      <c r="J130" t="s">
        <v>39</v>
      </c>
      <c r="K130" s="2">
        <v>9</v>
      </c>
      <c r="L130" s="3">
        <v>3500</v>
      </c>
      <c r="M130" s="2">
        <v>5</v>
      </c>
      <c r="N130" s="3">
        <v>29925</v>
      </c>
      <c r="O130" s="3">
        <v>17100</v>
      </c>
      <c r="P130" s="3">
        <v>12825</v>
      </c>
      <c r="Q130" t="s">
        <v>83</v>
      </c>
      <c r="R130" t="s">
        <v>84</v>
      </c>
      <c r="S130" t="s">
        <v>30</v>
      </c>
    </row>
    <row r="131" spans="1:19" x14ac:dyDescent="0.3">
      <c r="A131">
        <v>130</v>
      </c>
      <c r="B131" t="s">
        <v>433</v>
      </c>
      <c r="C131" t="s">
        <v>434</v>
      </c>
      <c r="D131" t="s">
        <v>435</v>
      </c>
      <c r="E131" t="s">
        <v>22</v>
      </c>
      <c r="F131" t="s">
        <v>167</v>
      </c>
      <c r="G131" t="s">
        <v>168</v>
      </c>
      <c r="H131" t="s">
        <v>169</v>
      </c>
      <c r="I131" t="s">
        <v>63</v>
      </c>
      <c r="J131" t="s">
        <v>39</v>
      </c>
      <c r="K131" s="2">
        <v>4</v>
      </c>
      <c r="L131" s="3">
        <v>2500</v>
      </c>
      <c r="M131" s="2">
        <v>10</v>
      </c>
      <c r="N131" s="3">
        <v>9000</v>
      </c>
      <c r="O131" s="3">
        <v>5600</v>
      </c>
      <c r="P131" s="3">
        <v>3400</v>
      </c>
      <c r="Q131" t="s">
        <v>48</v>
      </c>
      <c r="R131" t="s">
        <v>49</v>
      </c>
      <c r="S131" t="s">
        <v>41</v>
      </c>
    </row>
    <row r="132" spans="1:19" x14ac:dyDescent="0.3">
      <c r="A132">
        <v>131</v>
      </c>
      <c r="B132" t="s">
        <v>436</v>
      </c>
      <c r="C132" t="s">
        <v>437</v>
      </c>
      <c r="D132" t="s">
        <v>438</v>
      </c>
      <c r="E132" t="s">
        <v>99</v>
      </c>
      <c r="F132" t="s">
        <v>177</v>
      </c>
      <c r="G132" t="s">
        <v>178</v>
      </c>
      <c r="H132" t="s">
        <v>169</v>
      </c>
      <c r="I132" t="s">
        <v>26</v>
      </c>
      <c r="J132" t="s">
        <v>27</v>
      </c>
      <c r="K132" s="2">
        <v>6</v>
      </c>
      <c r="L132" s="3">
        <v>55000</v>
      </c>
      <c r="M132" s="2">
        <v>10</v>
      </c>
      <c r="N132" s="3">
        <v>297000</v>
      </c>
      <c r="O132" s="3">
        <v>228000</v>
      </c>
      <c r="P132" s="3">
        <v>69000</v>
      </c>
      <c r="Q132" t="s">
        <v>58</v>
      </c>
      <c r="R132" t="s">
        <v>49</v>
      </c>
      <c r="S132" t="s">
        <v>30</v>
      </c>
    </row>
    <row r="133" spans="1:19" x14ac:dyDescent="0.3">
      <c r="A133">
        <v>132</v>
      </c>
      <c r="B133" t="s">
        <v>391</v>
      </c>
      <c r="C133" t="s">
        <v>439</v>
      </c>
      <c r="D133" t="s">
        <v>440</v>
      </c>
      <c r="E133" t="s">
        <v>53</v>
      </c>
      <c r="F133" t="s">
        <v>35</v>
      </c>
      <c r="G133" t="s">
        <v>36</v>
      </c>
      <c r="H133" t="s">
        <v>37</v>
      </c>
      <c r="I133" t="s">
        <v>82</v>
      </c>
      <c r="J133" t="s">
        <v>27</v>
      </c>
      <c r="K133" s="2">
        <v>8</v>
      </c>
      <c r="L133" s="3">
        <v>30000</v>
      </c>
      <c r="M133" s="2">
        <v>0</v>
      </c>
      <c r="N133" s="3">
        <v>240000</v>
      </c>
      <c r="O133" s="3">
        <v>168000</v>
      </c>
      <c r="P133" s="3">
        <v>72000</v>
      </c>
      <c r="Q133" t="s">
        <v>48</v>
      </c>
      <c r="R133" t="s">
        <v>84</v>
      </c>
      <c r="S133" t="s">
        <v>59</v>
      </c>
    </row>
    <row r="134" spans="1:19" x14ac:dyDescent="0.3">
      <c r="A134">
        <v>133</v>
      </c>
      <c r="B134" t="s">
        <v>441</v>
      </c>
      <c r="C134" t="s">
        <v>442</v>
      </c>
      <c r="D134" t="s">
        <v>443</v>
      </c>
      <c r="E134" t="s">
        <v>99</v>
      </c>
      <c r="F134" t="s">
        <v>23</v>
      </c>
      <c r="G134" t="s">
        <v>24</v>
      </c>
      <c r="H134" t="s">
        <v>25</v>
      </c>
      <c r="I134" t="s">
        <v>100</v>
      </c>
      <c r="J134" t="s">
        <v>39</v>
      </c>
      <c r="K134" s="2">
        <v>2</v>
      </c>
      <c r="L134" s="3">
        <v>3500</v>
      </c>
      <c r="M134" s="2">
        <v>10</v>
      </c>
      <c r="N134" s="3">
        <v>6300</v>
      </c>
      <c r="O134" s="3">
        <v>3800</v>
      </c>
      <c r="P134" s="3">
        <v>2500</v>
      </c>
      <c r="Q134" t="s">
        <v>40</v>
      </c>
      <c r="R134" t="s">
        <v>84</v>
      </c>
      <c r="S134" t="s">
        <v>41</v>
      </c>
    </row>
    <row r="135" spans="1:19" x14ac:dyDescent="0.3">
      <c r="A135">
        <v>134</v>
      </c>
      <c r="B135" t="s">
        <v>291</v>
      </c>
      <c r="C135" t="s">
        <v>444</v>
      </c>
      <c r="D135" t="s">
        <v>445</v>
      </c>
      <c r="E135" t="s">
        <v>124</v>
      </c>
      <c r="F135" t="s">
        <v>35</v>
      </c>
      <c r="G135" t="s">
        <v>36</v>
      </c>
      <c r="H135" t="s">
        <v>37</v>
      </c>
      <c r="I135" t="s">
        <v>82</v>
      </c>
      <c r="J135" t="s">
        <v>27</v>
      </c>
      <c r="K135" s="2">
        <v>2</v>
      </c>
      <c r="L135" s="3">
        <v>30000</v>
      </c>
      <c r="M135" s="2">
        <v>5</v>
      </c>
      <c r="N135" s="3">
        <v>57000</v>
      </c>
      <c r="O135" s="3">
        <v>42000</v>
      </c>
      <c r="P135" s="3">
        <v>15000</v>
      </c>
      <c r="Q135" t="s">
        <v>83</v>
      </c>
      <c r="R135" t="s">
        <v>84</v>
      </c>
      <c r="S135" t="s">
        <v>30</v>
      </c>
    </row>
    <row r="136" spans="1:19" x14ac:dyDescent="0.3">
      <c r="A136">
        <v>135</v>
      </c>
      <c r="B136" t="s">
        <v>446</v>
      </c>
      <c r="C136" t="s">
        <v>447</v>
      </c>
      <c r="D136" t="s">
        <v>448</v>
      </c>
      <c r="E136" t="s">
        <v>34</v>
      </c>
      <c r="F136" t="s">
        <v>35</v>
      </c>
      <c r="G136" t="s">
        <v>36</v>
      </c>
      <c r="H136" t="s">
        <v>37</v>
      </c>
      <c r="I136" t="s">
        <v>77</v>
      </c>
      <c r="J136" t="s">
        <v>27</v>
      </c>
      <c r="K136" s="2">
        <v>6</v>
      </c>
      <c r="L136" s="3">
        <v>22000</v>
      </c>
      <c r="M136" s="2">
        <v>15</v>
      </c>
      <c r="N136" s="3">
        <v>112200</v>
      </c>
      <c r="O136" s="3">
        <v>93000</v>
      </c>
      <c r="P136" s="3">
        <v>19200</v>
      </c>
      <c r="Q136" t="s">
        <v>83</v>
      </c>
      <c r="R136" t="s">
        <v>84</v>
      </c>
      <c r="S136" t="s">
        <v>30</v>
      </c>
    </row>
    <row r="137" spans="1:19" x14ac:dyDescent="0.3">
      <c r="A137">
        <v>136</v>
      </c>
      <c r="B137" t="s">
        <v>449</v>
      </c>
      <c r="C137" t="s">
        <v>450</v>
      </c>
      <c r="D137" t="s">
        <v>451</v>
      </c>
      <c r="E137" t="s">
        <v>67</v>
      </c>
      <c r="F137" t="s">
        <v>167</v>
      </c>
      <c r="G137" t="s">
        <v>168</v>
      </c>
      <c r="H137" t="s">
        <v>169</v>
      </c>
      <c r="I137" t="s">
        <v>46</v>
      </c>
      <c r="J137" t="s">
        <v>47</v>
      </c>
      <c r="K137" s="2">
        <v>1</v>
      </c>
      <c r="L137" s="3">
        <v>8500</v>
      </c>
      <c r="M137" s="2">
        <v>10</v>
      </c>
      <c r="N137" s="3">
        <v>7650</v>
      </c>
      <c r="O137" s="3">
        <v>5600</v>
      </c>
      <c r="P137" s="3">
        <v>2050</v>
      </c>
      <c r="Q137" t="s">
        <v>28</v>
      </c>
      <c r="R137" t="s">
        <v>84</v>
      </c>
      <c r="S137" t="s">
        <v>30</v>
      </c>
    </row>
    <row r="138" spans="1:19" x14ac:dyDescent="0.3">
      <c r="A138">
        <v>137</v>
      </c>
      <c r="B138" t="s">
        <v>452</v>
      </c>
      <c r="C138" t="s">
        <v>453</v>
      </c>
      <c r="D138" t="s">
        <v>454</v>
      </c>
      <c r="E138" t="s">
        <v>34</v>
      </c>
      <c r="F138" t="s">
        <v>68</v>
      </c>
      <c r="G138" t="s">
        <v>69</v>
      </c>
      <c r="H138" t="s">
        <v>25</v>
      </c>
      <c r="I138" t="s">
        <v>144</v>
      </c>
      <c r="J138" t="s">
        <v>27</v>
      </c>
      <c r="K138" s="2">
        <v>12</v>
      </c>
      <c r="L138" s="3">
        <v>14000</v>
      </c>
      <c r="M138" s="2">
        <v>0</v>
      </c>
      <c r="N138" s="3">
        <v>168000</v>
      </c>
      <c r="O138" s="3">
        <v>114000</v>
      </c>
      <c r="P138" s="3">
        <v>54000</v>
      </c>
      <c r="Q138" t="s">
        <v>40</v>
      </c>
      <c r="R138" t="s">
        <v>84</v>
      </c>
      <c r="S138" t="s">
        <v>30</v>
      </c>
    </row>
    <row r="139" spans="1:19" x14ac:dyDescent="0.3">
      <c r="A139">
        <v>138</v>
      </c>
      <c r="B139" t="s">
        <v>455</v>
      </c>
      <c r="C139" t="s">
        <v>456</v>
      </c>
      <c r="D139" t="s">
        <v>457</v>
      </c>
      <c r="E139" t="s">
        <v>124</v>
      </c>
      <c r="F139" t="s">
        <v>23</v>
      </c>
      <c r="G139" t="s">
        <v>24</v>
      </c>
      <c r="H139" t="s">
        <v>25</v>
      </c>
      <c r="I139" t="s">
        <v>100</v>
      </c>
      <c r="J139" t="s">
        <v>39</v>
      </c>
      <c r="K139" s="2">
        <v>3</v>
      </c>
      <c r="L139" s="3">
        <v>3500</v>
      </c>
      <c r="M139" s="2">
        <v>10</v>
      </c>
      <c r="N139" s="3">
        <v>9450</v>
      </c>
      <c r="O139" s="3">
        <v>5700</v>
      </c>
      <c r="P139" s="3">
        <v>3750</v>
      </c>
      <c r="Q139" t="s">
        <v>40</v>
      </c>
      <c r="R139" t="s">
        <v>29</v>
      </c>
      <c r="S139" t="s">
        <v>59</v>
      </c>
    </row>
    <row r="140" spans="1:19" x14ac:dyDescent="0.3">
      <c r="A140">
        <v>139</v>
      </c>
      <c r="B140" t="s">
        <v>458</v>
      </c>
      <c r="C140" t="s">
        <v>459</v>
      </c>
      <c r="D140" t="s">
        <v>460</v>
      </c>
      <c r="E140" t="s">
        <v>34</v>
      </c>
      <c r="F140" t="s">
        <v>23</v>
      </c>
      <c r="G140" t="s">
        <v>173</v>
      </c>
      <c r="H140" t="s">
        <v>25</v>
      </c>
      <c r="I140" t="s">
        <v>57</v>
      </c>
      <c r="J140" t="s">
        <v>27</v>
      </c>
      <c r="K140" s="2">
        <v>6</v>
      </c>
      <c r="L140" s="3">
        <v>18000</v>
      </c>
      <c r="M140" s="2">
        <v>5</v>
      </c>
      <c r="N140" s="3">
        <v>102600</v>
      </c>
      <c r="O140" s="3">
        <v>75000</v>
      </c>
      <c r="P140" s="3">
        <v>27600</v>
      </c>
      <c r="Q140" t="s">
        <v>28</v>
      </c>
      <c r="R140" t="s">
        <v>29</v>
      </c>
      <c r="S140" t="s">
        <v>30</v>
      </c>
    </row>
    <row r="141" spans="1:19" x14ac:dyDescent="0.3">
      <c r="A141">
        <v>140</v>
      </c>
      <c r="B141" t="s">
        <v>461</v>
      </c>
      <c r="C141" t="s">
        <v>462</v>
      </c>
      <c r="D141" t="s">
        <v>463</v>
      </c>
      <c r="E141" t="s">
        <v>53</v>
      </c>
      <c r="F141" t="s">
        <v>54</v>
      </c>
      <c r="G141" t="s">
        <v>55</v>
      </c>
      <c r="H141" t="s">
        <v>56</v>
      </c>
      <c r="I141" t="s">
        <v>157</v>
      </c>
      <c r="J141" t="s">
        <v>47</v>
      </c>
      <c r="K141" s="2">
        <v>3</v>
      </c>
      <c r="L141" s="3">
        <v>15000</v>
      </c>
      <c r="M141" s="2">
        <v>0</v>
      </c>
      <c r="N141" s="3">
        <v>45000</v>
      </c>
      <c r="O141" s="3">
        <v>30000</v>
      </c>
      <c r="P141" s="3">
        <v>15000</v>
      </c>
      <c r="Q141" t="s">
        <v>40</v>
      </c>
      <c r="R141" t="s">
        <v>84</v>
      </c>
      <c r="S141" t="s">
        <v>59</v>
      </c>
    </row>
    <row r="142" spans="1:19" x14ac:dyDescent="0.3">
      <c r="A142">
        <v>141</v>
      </c>
      <c r="B142" t="s">
        <v>225</v>
      </c>
      <c r="C142" t="s">
        <v>464</v>
      </c>
      <c r="D142" t="s">
        <v>465</v>
      </c>
      <c r="E142" t="s">
        <v>53</v>
      </c>
      <c r="F142" t="s">
        <v>35</v>
      </c>
      <c r="G142" t="s">
        <v>36</v>
      </c>
      <c r="H142" t="s">
        <v>37</v>
      </c>
      <c r="I142" t="s">
        <v>144</v>
      </c>
      <c r="J142" t="s">
        <v>27</v>
      </c>
      <c r="K142" s="2">
        <v>8</v>
      </c>
      <c r="L142" s="3">
        <v>14000</v>
      </c>
      <c r="M142" s="2">
        <v>10</v>
      </c>
      <c r="N142" s="3">
        <v>100800</v>
      </c>
      <c r="O142" s="3">
        <v>76000</v>
      </c>
      <c r="P142" s="3">
        <v>24800</v>
      </c>
      <c r="Q142" t="s">
        <v>28</v>
      </c>
      <c r="R142" t="s">
        <v>49</v>
      </c>
      <c r="S142" t="s">
        <v>30</v>
      </c>
    </row>
    <row r="143" spans="1:19" x14ac:dyDescent="0.3">
      <c r="A143">
        <v>142</v>
      </c>
      <c r="B143" t="s">
        <v>245</v>
      </c>
      <c r="C143" t="s">
        <v>466</v>
      </c>
      <c r="D143" t="s">
        <v>467</v>
      </c>
      <c r="E143" t="s">
        <v>99</v>
      </c>
      <c r="F143" t="s">
        <v>167</v>
      </c>
      <c r="G143" t="s">
        <v>168</v>
      </c>
      <c r="H143" t="s">
        <v>169</v>
      </c>
      <c r="I143" t="s">
        <v>57</v>
      </c>
      <c r="J143" t="s">
        <v>27</v>
      </c>
      <c r="K143" s="2">
        <v>11</v>
      </c>
      <c r="L143" s="3">
        <v>18000</v>
      </c>
      <c r="M143" s="2">
        <v>0</v>
      </c>
      <c r="N143" s="3">
        <v>198000</v>
      </c>
      <c r="O143" s="3">
        <v>137500</v>
      </c>
      <c r="P143" s="3">
        <v>60500</v>
      </c>
      <c r="Q143" t="s">
        <v>83</v>
      </c>
      <c r="R143" t="s">
        <v>84</v>
      </c>
      <c r="S143" t="s">
        <v>30</v>
      </c>
    </row>
    <row r="144" spans="1:19" x14ac:dyDescent="0.3">
      <c r="A144">
        <v>143</v>
      </c>
      <c r="B144" t="s">
        <v>112</v>
      </c>
      <c r="C144" t="s">
        <v>468</v>
      </c>
      <c r="D144" t="s">
        <v>469</v>
      </c>
      <c r="E144" t="s">
        <v>124</v>
      </c>
      <c r="F144" t="s">
        <v>23</v>
      </c>
      <c r="G144" t="s">
        <v>24</v>
      </c>
      <c r="H144" t="s">
        <v>25</v>
      </c>
      <c r="I144" t="s">
        <v>100</v>
      </c>
      <c r="J144" t="s">
        <v>39</v>
      </c>
      <c r="K144" s="2">
        <v>6</v>
      </c>
      <c r="L144" s="3">
        <v>3500</v>
      </c>
      <c r="M144" s="2">
        <v>10</v>
      </c>
      <c r="N144" s="3">
        <v>18900</v>
      </c>
      <c r="O144" s="3">
        <v>11400</v>
      </c>
      <c r="P144" s="3">
        <v>7500</v>
      </c>
      <c r="Q144" t="s">
        <v>58</v>
      </c>
      <c r="R144" t="s">
        <v>84</v>
      </c>
      <c r="S144" t="s">
        <v>59</v>
      </c>
    </row>
    <row r="145" spans="1:19" x14ac:dyDescent="0.3">
      <c r="A145">
        <v>144</v>
      </c>
      <c r="B145" t="s">
        <v>470</v>
      </c>
      <c r="C145" t="s">
        <v>471</v>
      </c>
      <c r="D145" t="s">
        <v>472</v>
      </c>
      <c r="E145" t="s">
        <v>99</v>
      </c>
      <c r="F145" t="s">
        <v>68</v>
      </c>
      <c r="G145" t="s">
        <v>69</v>
      </c>
      <c r="H145" t="s">
        <v>25</v>
      </c>
      <c r="I145" t="s">
        <v>144</v>
      </c>
      <c r="J145" t="s">
        <v>27</v>
      </c>
      <c r="K145" s="2">
        <v>7</v>
      </c>
      <c r="L145" s="3">
        <v>14000</v>
      </c>
      <c r="M145" s="2">
        <v>15</v>
      </c>
      <c r="N145" s="3">
        <v>83300</v>
      </c>
      <c r="O145" s="3">
        <v>66500</v>
      </c>
      <c r="P145" s="3">
        <v>16800</v>
      </c>
      <c r="Q145" t="s">
        <v>40</v>
      </c>
      <c r="R145" t="s">
        <v>29</v>
      </c>
      <c r="S145" t="s">
        <v>59</v>
      </c>
    </row>
    <row r="146" spans="1:19" x14ac:dyDescent="0.3">
      <c r="A146">
        <v>145</v>
      </c>
      <c r="B146" t="s">
        <v>473</v>
      </c>
      <c r="C146" t="s">
        <v>474</v>
      </c>
      <c r="D146" t="s">
        <v>475</v>
      </c>
      <c r="E146" t="s">
        <v>124</v>
      </c>
      <c r="F146" t="s">
        <v>68</v>
      </c>
      <c r="G146" t="s">
        <v>81</v>
      </c>
      <c r="H146" t="s">
        <v>25</v>
      </c>
      <c r="I146" t="s">
        <v>73</v>
      </c>
      <c r="J146" t="s">
        <v>47</v>
      </c>
      <c r="K146" s="2">
        <v>5</v>
      </c>
      <c r="L146" s="3">
        <v>12000</v>
      </c>
      <c r="M146" s="2">
        <v>10</v>
      </c>
      <c r="N146" s="3">
        <v>54000</v>
      </c>
      <c r="O146" s="3">
        <v>40000</v>
      </c>
      <c r="P146" s="3">
        <v>14000</v>
      </c>
      <c r="Q146" t="s">
        <v>40</v>
      </c>
      <c r="R146" t="s">
        <v>84</v>
      </c>
      <c r="S146" t="s">
        <v>59</v>
      </c>
    </row>
    <row r="147" spans="1:19" x14ac:dyDescent="0.3">
      <c r="A147">
        <v>146</v>
      </c>
      <c r="B147" t="s">
        <v>476</v>
      </c>
      <c r="C147" t="s">
        <v>477</v>
      </c>
      <c r="D147" t="s">
        <v>478</v>
      </c>
      <c r="E147" t="s">
        <v>109</v>
      </c>
      <c r="F147" t="s">
        <v>23</v>
      </c>
      <c r="G147" t="s">
        <v>173</v>
      </c>
      <c r="H147" t="s">
        <v>25</v>
      </c>
      <c r="I147" t="s">
        <v>73</v>
      </c>
      <c r="J147" t="s">
        <v>47</v>
      </c>
      <c r="K147" s="2">
        <v>11</v>
      </c>
      <c r="L147" s="3">
        <v>12000</v>
      </c>
      <c r="M147" s="2">
        <v>15</v>
      </c>
      <c r="N147" s="3">
        <v>112200</v>
      </c>
      <c r="O147" s="3">
        <v>88000</v>
      </c>
      <c r="P147" s="3">
        <v>24200</v>
      </c>
      <c r="Q147" t="s">
        <v>48</v>
      </c>
      <c r="R147" t="s">
        <v>84</v>
      </c>
      <c r="S147" t="s">
        <v>59</v>
      </c>
    </row>
    <row r="148" spans="1:19" x14ac:dyDescent="0.3">
      <c r="A148">
        <v>147</v>
      </c>
      <c r="B148" t="s">
        <v>479</v>
      </c>
      <c r="C148" t="s">
        <v>480</v>
      </c>
      <c r="D148" t="s">
        <v>481</v>
      </c>
      <c r="E148" t="s">
        <v>91</v>
      </c>
      <c r="F148" t="s">
        <v>68</v>
      </c>
      <c r="G148" t="s">
        <v>69</v>
      </c>
      <c r="H148" t="s">
        <v>25</v>
      </c>
      <c r="I148" t="s">
        <v>144</v>
      </c>
      <c r="J148" t="s">
        <v>27</v>
      </c>
      <c r="K148" s="2">
        <v>10</v>
      </c>
      <c r="L148" s="3">
        <v>14000</v>
      </c>
      <c r="M148" s="2">
        <v>15</v>
      </c>
      <c r="N148" s="3">
        <v>119000</v>
      </c>
      <c r="O148" s="3">
        <v>95000</v>
      </c>
      <c r="P148" s="3">
        <v>24000</v>
      </c>
      <c r="Q148" t="s">
        <v>28</v>
      </c>
      <c r="R148" t="s">
        <v>84</v>
      </c>
      <c r="S148" t="s">
        <v>41</v>
      </c>
    </row>
    <row r="149" spans="1:19" x14ac:dyDescent="0.3">
      <c r="A149">
        <v>148</v>
      </c>
      <c r="B149" t="s">
        <v>225</v>
      </c>
      <c r="C149" t="s">
        <v>482</v>
      </c>
      <c r="D149" t="s">
        <v>483</v>
      </c>
      <c r="E149" t="s">
        <v>53</v>
      </c>
      <c r="F149" t="s">
        <v>68</v>
      </c>
      <c r="G149" t="s">
        <v>69</v>
      </c>
      <c r="H149" t="s">
        <v>25</v>
      </c>
      <c r="I149" t="s">
        <v>157</v>
      </c>
      <c r="J149" t="s">
        <v>47</v>
      </c>
      <c r="K149" s="2">
        <v>12</v>
      </c>
      <c r="L149" s="3">
        <v>15000</v>
      </c>
      <c r="M149" s="2">
        <v>15</v>
      </c>
      <c r="N149" s="3">
        <v>153000</v>
      </c>
      <c r="O149" s="3">
        <v>120000</v>
      </c>
      <c r="P149" s="3">
        <v>33000</v>
      </c>
      <c r="Q149" t="s">
        <v>40</v>
      </c>
      <c r="R149" t="s">
        <v>84</v>
      </c>
      <c r="S149" t="s">
        <v>30</v>
      </c>
    </row>
    <row r="150" spans="1:19" x14ac:dyDescent="0.3">
      <c r="A150">
        <v>149</v>
      </c>
      <c r="B150" t="s">
        <v>396</v>
      </c>
      <c r="C150" t="s">
        <v>484</v>
      </c>
      <c r="D150" t="s">
        <v>485</v>
      </c>
      <c r="E150" t="s">
        <v>91</v>
      </c>
      <c r="F150" t="s">
        <v>68</v>
      </c>
      <c r="G150" t="s">
        <v>69</v>
      </c>
      <c r="H150" t="s">
        <v>25</v>
      </c>
      <c r="I150" t="s">
        <v>100</v>
      </c>
      <c r="J150" t="s">
        <v>39</v>
      </c>
      <c r="K150" s="2">
        <v>1</v>
      </c>
      <c r="L150" s="3">
        <v>3500</v>
      </c>
      <c r="M150" s="2">
        <v>10</v>
      </c>
      <c r="N150" s="3">
        <v>3150</v>
      </c>
      <c r="O150" s="3">
        <v>1900</v>
      </c>
      <c r="P150" s="3">
        <v>1250</v>
      </c>
      <c r="Q150" t="s">
        <v>28</v>
      </c>
      <c r="R150" t="s">
        <v>29</v>
      </c>
      <c r="S150" t="s">
        <v>59</v>
      </c>
    </row>
    <row r="151" spans="1:19" x14ac:dyDescent="0.3">
      <c r="A151">
        <v>150</v>
      </c>
      <c r="B151" t="s">
        <v>307</v>
      </c>
      <c r="C151" t="s">
        <v>486</v>
      </c>
      <c r="D151" t="s">
        <v>487</v>
      </c>
      <c r="E151" t="s">
        <v>53</v>
      </c>
      <c r="F151" t="s">
        <v>104</v>
      </c>
      <c r="G151" t="s">
        <v>105</v>
      </c>
      <c r="H151" t="s">
        <v>56</v>
      </c>
      <c r="I151" t="s">
        <v>95</v>
      </c>
      <c r="J151" t="s">
        <v>39</v>
      </c>
      <c r="K151" s="2">
        <v>3</v>
      </c>
      <c r="L151" s="3">
        <v>1200</v>
      </c>
      <c r="M151" s="2">
        <v>0</v>
      </c>
      <c r="N151" s="3">
        <v>3600</v>
      </c>
      <c r="O151" s="3">
        <v>1950</v>
      </c>
      <c r="P151" s="3">
        <v>1650</v>
      </c>
      <c r="Q151" t="s">
        <v>48</v>
      </c>
      <c r="R151" t="s">
        <v>49</v>
      </c>
      <c r="S151" t="s">
        <v>30</v>
      </c>
    </row>
    <row r="152" spans="1:19" x14ac:dyDescent="0.3">
      <c r="A152">
        <v>151</v>
      </c>
      <c r="B152" t="s">
        <v>488</v>
      </c>
      <c r="C152" t="s">
        <v>489</v>
      </c>
      <c r="D152" t="s">
        <v>490</v>
      </c>
      <c r="E152" t="s">
        <v>99</v>
      </c>
      <c r="F152" t="s">
        <v>68</v>
      </c>
      <c r="G152" t="s">
        <v>69</v>
      </c>
      <c r="H152" t="s">
        <v>25</v>
      </c>
      <c r="I152" t="s">
        <v>82</v>
      </c>
      <c r="J152" t="s">
        <v>27</v>
      </c>
      <c r="K152" s="2">
        <v>5</v>
      </c>
      <c r="L152" s="3">
        <v>30000</v>
      </c>
      <c r="M152" s="2">
        <v>15</v>
      </c>
      <c r="N152" s="3">
        <v>127500</v>
      </c>
      <c r="O152" s="3">
        <v>105000</v>
      </c>
      <c r="P152" s="3">
        <v>22500</v>
      </c>
      <c r="Q152" t="s">
        <v>83</v>
      </c>
      <c r="R152" t="s">
        <v>84</v>
      </c>
      <c r="S152" t="s">
        <v>59</v>
      </c>
    </row>
    <row r="153" spans="1:19" x14ac:dyDescent="0.3">
      <c r="A153">
        <v>152</v>
      </c>
      <c r="B153" t="s">
        <v>274</v>
      </c>
      <c r="C153" t="s">
        <v>491</v>
      </c>
      <c r="D153" t="s">
        <v>492</v>
      </c>
      <c r="E153" t="s">
        <v>22</v>
      </c>
      <c r="F153" t="s">
        <v>23</v>
      </c>
      <c r="G153" t="s">
        <v>24</v>
      </c>
      <c r="H153" t="s">
        <v>25</v>
      </c>
      <c r="I153" t="s">
        <v>100</v>
      </c>
      <c r="J153" t="s">
        <v>39</v>
      </c>
      <c r="K153" s="2">
        <v>2</v>
      </c>
      <c r="L153" s="3">
        <v>3500</v>
      </c>
      <c r="M153" s="2">
        <v>0</v>
      </c>
      <c r="N153" s="3">
        <v>7000</v>
      </c>
      <c r="O153" s="3">
        <v>3800</v>
      </c>
      <c r="P153" s="3">
        <v>3200</v>
      </c>
      <c r="Q153" t="s">
        <v>58</v>
      </c>
      <c r="R153" t="s">
        <v>84</v>
      </c>
      <c r="S153" t="s">
        <v>59</v>
      </c>
    </row>
    <row r="154" spans="1:19" x14ac:dyDescent="0.3">
      <c r="A154">
        <v>153</v>
      </c>
      <c r="B154" t="s">
        <v>493</v>
      </c>
      <c r="C154" t="s">
        <v>494</v>
      </c>
      <c r="D154" t="s">
        <v>495</v>
      </c>
      <c r="E154" t="s">
        <v>67</v>
      </c>
      <c r="F154" t="s">
        <v>177</v>
      </c>
      <c r="G154" t="s">
        <v>178</v>
      </c>
      <c r="H154" t="s">
        <v>169</v>
      </c>
      <c r="I154" t="s">
        <v>26</v>
      </c>
      <c r="J154" t="s">
        <v>27</v>
      </c>
      <c r="K154" s="2">
        <v>5</v>
      </c>
      <c r="L154" s="3">
        <v>55000</v>
      </c>
      <c r="M154" s="2">
        <v>10</v>
      </c>
      <c r="N154" s="3">
        <v>247500</v>
      </c>
      <c r="O154" s="3">
        <v>190000</v>
      </c>
      <c r="P154" s="3">
        <v>57500</v>
      </c>
      <c r="Q154" t="s">
        <v>58</v>
      </c>
      <c r="R154" t="s">
        <v>49</v>
      </c>
      <c r="S154" t="s">
        <v>30</v>
      </c>
    </row>
    <row r="155" spans="1:19" x14ac:dyDescent="0.3">
      <c r="A155">
        <v>154</v>
      </c>
      <c r="B155" t="s">
        <v>496</v>
      </c>
      <c r="C155" t="s">
        <v>497</v>
      </c>
      <c r="D155" t="s">
        <v>498</v>
      </c>
      <c r="E155" t="s">
        <v>91</v>
      </c>
      <c r="F155" t="s">
        <v>35</v>
      </c>
      <c r="G155" t="s">
        <v>36</v>
      </c>
      <c r="H155" t="s">
        <v>37</v>
      </c>
      <c r="I155" t="s">
        <v>57</v>
      </c>
      <c r="J155" t="s">
        <v>27</v>
      </c>
      <c r="K155" s="2">
        <v>10</v>
      </c>
      <c r="L155" s="3">
        <v>18000</v>
      </c>
      <c r="M155" s="2">
        <v>5</v>
      </c>
      <c r="N155" s="3">
        <v>171000</v>
      </c>
      <c r="O155" s="3">
        <v>125000</v>
      </c>
      <c r="P155" s="3">
        <v>46000</v>
      </c>
      <c r="Q155" t="s">
        <v>40</v>
      </c>
      <c r="R155" t="s">
        <v>84</v>
      </c>
      <c r="S155" t="s">
        <v>41</v>
      </c>
    </row>
    <row r="156" spans="1:19" x14ac:dyDescent="0.3">
      <c r="A156">
        <v>155</v>
      </c>
      <c r="B156" t="s">
        <v>402</v>
      </c>
      <c r="C156" t="s">
        <v>499</v>
      </c>
      <c r="D156" t="s">
        <v>500</v>
      </c>
      <c r="E156" t="s">
        <v>22</v>
      </c>
      <c r="F156" t="s">
        <v>23</v>
      </c>
      <c r="G156" t="s">
        <v>173</v>
      </c>
      <c r="H156" t="s">
        <v>25</v>
      </c>
      <c r="I156" t="s">
        <v>73</v>
      </c>
      <c r="J156" t="s">
        <v>47</v>
      </c>
      <c r="K156" s="2">
        <v>9</v>
      </c>
      <c r="L156" s="3">
        <v>12000</v>
      </c>
      <c r="M156" s="2">
        <v>5</v>
      </c>
      <c r="N156" s="3">
        <v>102600</v>
      </c>
      <c r="O156" s="3">
        <v>72000</v>
      </c>
      <c r="P156" s="3">
        <v>30600</v>
      </c>
      <c r="Q156" t="s">
        <v>40</v>
      </c>
      <c r="R156" t="s">
        <v>84</v>
      </c>
      <c r="S156" t="s">
        <v>59</v>
      </c>
    </row>
    <row r="157" spans="1:19" x14ac:dyDescent="0.3">
      <c r="A157">
        <v>156</v>
      </c>
      <c r="B157" t="s">
        <v>501</v>
      </c>
      <c r="C157" t="s">
        <v>502</v>
      </c>
      <c r="D157" t="s">
        <v>503</v>
      </c>
      <c r="E157" t="s">
        <v>67</v>
      </c>
      <c r="F157" t="s">
        <v>104</v>
      </c>
      <c r="G157" t="s">
        <v>105</v>
      </c>
      <c r="H157" t="s">
        <v>56</v>
      </c>
      <c r="I157" t="s">
        <v>57</v>
      </c>
      <c r="J157" t="s">
        <v>27</v>
      </c>
      <c r="K157" s="2">
        <v>11</v>
      </c>
      <c r="L157" s="3">
        <v>18000</v>
      </c>
      <c r="M157" s="2">
        <v>5</v>
      </c>
      <c r="N157" s="3">
        <v>188100</v>
      </c>
      <c r="O157" s="3">
        <v>137500</v>
      </c>
      <c r="P157" s="3">
        <v>50600</v>
      </c>
      <c r="Q157" t="s">
        <v>28</v>
      </c>
      <c r="R157" t="s">
        <v>29</v>
      </c>
      <c r="S157" t="s">
        <v>41</v>
      </c>
    </row>
    <row r="158" spans="1:19" x14ac:dyDescent="0.3">
      <c r="A158">
        <v>157</v>
      </c>
      <c r="B158" t="s">
        <v>370</v>
      </c>
      <c r="C158" t="s">
        <v>504</v>
      </c>
      <c r="D158" t="s">
        <v>505</v>
      </c>
      <c r="E158" t="s">
        <v>53</v>
      </c>
      <c r="F158" t="s">
        <v>167</v>
      </c>
      <c r="G158" t="s">
        <v>168</v>
      </c>
      <c r="H158" t="s">
        <v>169</v>
      </c>
      <c r="I158" t="s">
        <v>77</v>
      </c>
      <c r="J158" t="s">
        <v>27</v>
      </c>
      <c r="K158" s="2">
        <v>2</v>
      </c>
      <c r="L158" s="3">
        <v>22000</v>
      </c>
      <c r="M158" s="2">
        <v>0</v>
      </c>
      <c r="N158" s="3">
        <v>44000</v>
      </c>
      <c r="O158" s="3">
        <v>31000</v>
      </c>
      <c r="P158" s="3">
        <v>13000</v>
      </c>
      <c r="Q158" t="s">
        <v>58</v>
      </c>
      <c r="R158" t="s">
        <v>49</v>
      </c>
      <c r="S158" t="s">
        <v>59</v>
      </c>
    </row>
    <row r="159" spans="1:19" x14ac:dyDescent="0.3">
      <c r="A159">
        <v>158</v>
      </c>
      <c r="B159" t="s">
        <v>506</v>
      </c>
      <c r="C159" t="s">
        <v>507</v>
      </c>
      <c r="D159" t="s">
        <v>508</v>
      </c>
      <c r="E159" t="s">
        <v>53</v>
      </c>
      <c r="F159" t="s">
        <v>104</v>
      </c>
      <c r="G159" t="s">
        <v>105</v>
      </c>
      <c r="H159" t="s">
        <v>56</v>
      </c>
      <c r="I159" t="s">
        <v>38</v>
      </c>
      <c r="J159" t="s">
        <v>39</v>
      </c>
      <c r="K159" s="2">
        <v>9</v>
      </c>
      <c r="L159" s="3">
        <v>4500</v>
      </c>
      <c r="M159" s="2">
        <v>5</v>
      </c>
      <c r="N159" s="3">
        <v>38475</v>
      </c>
      <c r="O159" s="3">
        <v>23400</v>
      </c>
      <c r="P159" s="3">
        <v>15075</v>
      </c>
      <c r="Q159" t="s">
        <v>58</v>
      </c>
      <c r="R159" t="s">
        <v>84</v>
      </c>
      <c r="S159" t="s">
        <v>41</v>
      </c>
    </row>
    <row r="160" spans="1:19" x14ac:dyDescent="0.3">
      <c r="A160">
        <v>159</v>
      </c>
      <c r="B160" t="s">
        <v>479</v>
      </c>
      <c r="C160" t="s">
        <v>509</v>
      </c>
      <c r="D160" t="s">
        <v>510</v>
      </c>
      <c r="E160" t="s">
        <v>109</v>
      </c>
      <c r="F160" t="s">
        <v>167</v>
      </c>
      <c r="G160" t="s">
        <v>168</v>
      </c>
      <c r="H160" t="s">
        <v>169</v>
      </c>
      <c r="I160" t="s">
        <v>73</v>
      </c>
      <c r="J160" t="s">
        <v>47</v>
      </c>
      <c r="K160" s="2">
        <v>7</v>
      </c>
      <c r="L160" s="3">
        <v>12000</v>
      </c>
      <c r="M160" s="2">
        <v>5</v>
      </c>
      <c r="N160" s="3">
        <v>79800</v>
      </c>
      <c r="O160" s="3">
        <v>56000</v>
      </c>
      <c r="P160" s="3">
        <v>23800</v>
      </c>
      <c r="Q160" t="s">
        <v>83</v>
      </c>
      <c r="R160" t="s">
        <v>29</v>
      </c>
      <c r="S160" t="s">
        <v>59</v>
      </c>
    </row>
    <row r="161" spans="1:19" x14ac:dyDescent="0.3">
      <c r="A161">
        <v>160</v>
      </c>
      <c r="B161" t="s">
        <v>511</v>
      </c>
      <c r="C161" t="s">
        <v>512</v>
      </c>
      <c r="D161" t="s">
        <v>513</v>
      </c>
      <c r="E161" t="s">
        <v>91</v>
      </c>
      <c r="F161" t="s">
        <v>23</v>
      </c>
      <c r="G161" t="s">
        <v>45</v>
      </c>
      <c r="H161" t="s">
        <v>25</v>
      </c>
      <c r="I161" t="s">
        <v>63</v>
      </c>
      <c r="J161" t="s">
        <v>39</v>
      </c>
      <c r="K161" s="2">
        <v>2</v>
      </c>
      <c r="L161" s="3">
        <v>2500</v>
      </c>
      <c r="M161" s="2">
        <v>10</v>
      </c>
      <c r="N161" s="3">
        <v>4500</v>
      </c>
      <c r="O161" s="3">
        <v>2800</v>
      </c>
      <c r="P161" s="3">
        <v>1700</v>
      </c>
      <c r="Q161" t="s">
        <v>48</v>
      </c>
      <c r="R161" t="s">
        <v>84</v>
      </c>
      <c r="S161" t="s">
        <v>59</v>
      </c>
    </row>
    <row r="162" spans="1:19" x14ac:dyDescent="0.3">
      <c r="A162">
        <v>161</v>
      </c>
      <c r="B162" t="s">
        <v>514</v>
      </c>
      <c r="C162" t="s">
        <v>515</v>
      </c>
      <c r="D162" t="s">
        <v>516</v>
      </c>
      <c r="E162" t="s">
        <v>99</v>
      </c>
      <c r="F162" t="s">
        <v>177</v>
      </c>
      <c r="G162" t="s">
        <v>178</v>
      </c>
      <c r="H162" t="s">
        <v>169</v>
      </c>
      <c r="I162" t="s">
        <v>57</v>
      </c>
      <c r="J162" t="s">
        <v>27</v>
      </c>
      <c r="K162" s="2">
        <v>4</v>
      </c>
      <c r="L162" s="3">
        <v>18000</v>
      </c>
      <c r="M162" s="2">
        <v>0</v>
      </c>
      <c r="N162" s="3">
        <v>72000</v>
      </c>
      <c r="O162" s="3">
        <v>50000</v>
      </c>
      <c r="P162" s="3">
        <v>22000</v>
      </c>
      <c r="Q162" t="s">
        <v>40</v>
      </c>
      <c r="R162" t="s">
        <v>84</v>
      </c>
      <c r="S162" t="s">
        <v>41</v>
      </c>
    </row>
    <row r="163" spans="1:19" x14ac:dyDescent="0.3">
      <c r="A163">
        <v>162</v>
      </c>
      <c r="B163" t="s">
        <v>517</v>
      </c>
      <c r="C163" t="s">
        <v>518</v>
      </c>
      <c r="D163" t="s">
        <v>519</v>
      </c>
      <c r="E163" t="s">
        <v>91</v>
      </c>
      <c r="F163" t="s">
        <v>35</v>
      </c>
      <c r="G163" t="s">
        <v>36</v>
      </c>
      <c r="H163" t="s">
        <v>37</v>
      </c>
      <c r="I163" t="s">
        <v>73</v>
      </c>
      <c r="J163" t="s">
        <v>47</v>
      </c>
      <c r="K163" s="2">
        <v>1</v>
      </c>
      <c r="L163" s="3">
        <v>12000</v>
      </c>
      <c r="M163" s="2">
        <v>0</v>
      </c>
      <c r="N163" s="3">
        <v>12000</v>
      </c>
      <c r="O163" s="3">
        <v>8000</v>
      </c>
      <c r="P163" s="3">
        <v>4000</v>
      </c>
      <c r="Q163" t="s">
        <v>28</v>
      </c>
      <c r="R163" t="s">
        <v>29</v>
      </c>
      <c r="S163" t="s">
        <v>30</v>
      </c>
    </row>
    <row r="164" spans="1:19" x14ac:dyDescent="0.3">
      <c r="A164">
        <v>163</v>
      </c>
      <c r="B164" t="s">
        <v>520</v>
      </c>
      <c r="C164" t="s">
        <v>521</v>
      </c>
      <c r="D164" t="s">
        <v>522</v>
      </c>
      <c r="E164" t="s">
        <v>22</v>
      </c>
      <c r="F164" t="s">
        <v>23</v>
      </c>
      <c r="G164" t="s">
        <v>24</v>
      </c>
      <c r="H164" t="s">
        <v>25</v>
      </c>
      <c r="I164" t="s">
        <v>46</v>
      </c>
      <c r="J164" t="s">
        <v>47</v>
      </c>
      <c r="K164" s="2">
        <v>4</v>
      </c>
      <c r="L164" s="3">
        <v>8500</v>
      </c>
      <c r="M164" s="2">
        <v>10</v>
      </c>
      <c r="N164" s="3">
        <v>30600</v>
      </c>
      <c r="O164" s="3">
        <v>22400</v>
      </c>
      <c r="P164" s="3">
        <v>8200</v>
      </c>
      <c r="Q164" t="s">
        <v>28</v>
      </c>
      <c r="R164" t="s">
        <v>49</v>
      </c>
      <c r="S164" t="s">
        <v>41</v>
      </c>
    </row>
    <row r="165" spans="1:19" x14ac:dyDescent="0.3">
      <c r="A165">
        <v>164</v>
      </c>
      <c r="B165" t="s">
        <v>523</v>
      </c>
      <c r="C165" t="s">
        <v>524</v>
      </c>
      <c r="D165" t="s">
        <v>525</v>
      </c>
      <c r="E165" t="s">
        <v>53</v>
      </c>
      <c r="F165" t="s">
        <v>54</v>
      </c>
      <c r="G165" t="s">
        <v>55</v>
      </c>
      <c r="H165" t="s">
        <v>56</v>
      </c>
      <c r="I165" t="s">
        <v>26</v>
      </c>
      <c r="J165" t="s">
        <v>27</v>
      </c>
      <c r="K165" s="2">
        <v>5</v>
      </c>
      <c r="L165" s="3">
        <v>55000</v>
      </c>
      <c r="M165" s="2">
        <v>15</v>
      </c>
      <c r="N165" s="3">
        <v>233750</v>
      </c>
      <c r="O165" s="3">
        <v>190000</v>
      </c>
      <c r="P165" s="3">
        <v>43750</v>
      </c>
      <c r="Q165" t="s">
        <v>28</v>
      </c>
      <c r="R165" t="s">
        <v>84</v>
      </c>
      <c r="S165" t="s">
        <v>59</v>
      </c>
    </row>
    <row r="166" spans="1:19" x14ac:dyDescent="0.3">
      <c r="A166">
        <v>165</v>
      </c>
      <c r="B166" t="s">
        <v>161</v>
      </c>
      <c r="C166" t="s">
        <v>526</v>
      </c>
      <c r="D166" t="s">
        <v>527</v>
      </c>
      <c r="E166" t="s">
        <v>109</v>
      </c>
      <c r="F166" t="s">
        <v>23</v>
      </c>
      <c r="G166" t="s">
        <v>110</v>
      </c>
      <c r="H166" t="s">
        <v>111</v>
      </c>
      <c r="I166" t="s">
        <v>77</v>
      </c>
      <c r="J166" t="s">
        <v>27</v>
      </c>
      <c r="K166" s="2">
        <v>11</v>
      </c>
      <c r="L166" s="3">
        <v>22000</v>
      </c>
      <c r="M166" s="2">
        <v>15</v>
      </c>
      <c r="N166" s="3">
        <v>205700</v>
      </c>
      <c r="O166" s="3">
        <v>170500</v>
      </c>
      <c r="P166" s="3">
        <v>35200</v>
      </c>
      <c r="Q166" t="s">
        <v>28</v>
      </c>
      <c r="R166" t="s">
        <v>29</v>
      </c>
      <c r="S166" t="s">
        <v>59</v>
      </c>
    </row>
    <row r="167" spans="1:19" x14ac:dyDescent="0.3">
      <c r="A167">
        <v>166</v>
      </c>
      <c r="B167" t="s">
        <v>391</v>
      </c>
      <c r="C167" t="s">
        <v>528</v>
      </c>
      <c r="D167" t="s">
        <v>529</v>
      </c>
      <c r="E167" t="s">
        <v>53</v>
      </c>
      <c r="F167" t="s">
        <v>23</v>
      </c>
      <c r="G167" t="s">
        <v>45</v>
      </c>
      <c r="H167" t="s">
        <v>25</v>
      </c>
      <c r="I167" t="s">
        <v>73</v>
      </c>
      <c r="J167" t="s">
        <v>47</v>
      </c>
      <c r="K167" s="2">
        <v>6</v>
      </c>
      <c r="L167" s="3">
        <v>12000</v>
      </c>
      <c r="M167" s="2">
        <v>0</v>
      </c>
      <c r="N167" s="3">
        <v>72000</v>
      </c>
      <c r="O167" s="3">
        <v>48000</v>
      </c>
      <c r="P167" s="3">
        <v>24000</v>
      </c>
      <c r="Q167" t="s">
        <v>83</v>
      </c>
      <c r="R167" t="s">
        <v>29</v>
      </c>
      <c r="S167" t="s">
        <v>41</v>
      </c>
    </row>
    <row r="168" spans="1:19" x14ac:dyDescent="0.3">
      <c r="A168">
        <v>167</v>
      </c>
      <c r="B168" t="s">
        <v>530</v>
      </c>
      <c r="C168" t="s">
        <v>531</v>
      </c>
      <c r="D168" t="s">
        <v>532</v>
      </c>
      <c r="E168" t="s">
        <v>67</v>
      </c>
      <c r="F168" t="s">
        <v>177</v>
      </c>
      <c r="G168" t="s">
        <v>178</v>
      </c>
      <c r="H168" t="s">
        <v>169</v>
      </c>
      <c r="I168" t="s">
        <v>46</v>
      </c>
      <c r="J168" t="s">
        <v>47</v>
      </c>
      <c r="K168" s="2">
        <v>2</v>
      </c>
      <c r="L168" s="3">
        <v>8500</v>
      </c>
      <c r="M168" s="2">
        <v>10</v>
      </c>
      <c r="N168" s="3">
        <v>15300</v>
      </c>
      <c r="O168" s="3">
        <v>11200</v>
      </c>
      <c r="P168" s="3">
        <v>4100</v>
      </c>
      <c r="Q168" t="s">
        <v>58</v>
      </c>
      <c r="R168" t="s">
        <v>49</v>
      </c>
      <c r="S168" t="s">
        <v>59</v>
      </c>
    </row>
    <row r="169" spans="1:19" x14ac:dyDescent="0.3">
      <c r="A169">
        <v>168</v>
      </c>
      <c r="B169" t="s">
        <v>533</v>
      </c>
      <c r="C169" t="s">
        <v>534</v>
      </c>
      <c r="D169" t="s">
        <v>535</v>
      </c>
      <c r="E169" t="s">
        <v>22</v>
      </c>
      <c r="F169" t="s">
        <v>54</v>
      </c>
      <c r="G169" t="s">
        <v>55</v>
      </c>
      <c r="H169" t="s">
        <v>56</v>
      </c>
      <c r="I169" t="s">
        <v>77</v>
      </c>
      <c r="J169" t="s">
        <v>27</v>
      </c>
      <c r="K169" s="2">
        <v>8</v>
      </c>
      <c r="L169" s="3">
        <v>22000</v>
      </c>
      <c r="M169" s="2">
        <v>10</v>
      </c>
      <c r="N169" s="3">
        <v>158400</v>
      </c>
      <c r="O169" s="3">
        <v>124000</v>
      </c>
      <c r="P169" s="3">
        <v>34400</v>
      </c>
      <c r="Q169" t="s">
        <v>48</v>
      </c>
      <c r="R169" t="s">
        <v>29</v>
      </c>
      <c r="S169" t="s">
        <v>30</v>
      </c>
    </row>
    <row r="170" spans="1:19" x14ac:dyDescent="0.3">
      <c r="A170">
        <v>169</v>
      </c>
      <c r="B170" t="s">
        <v>536</v>
      </c>
      <c r="C170" t="s">
        <v>537</v>
      </c>
      <c r="D170" t="s">
        <v>538</v>
      </c>
      <c r="E170" t="s">
        <v>109</v>
      </c>
      <c r="F170" t="s">
        <v>35</v>
      </c>
      <c r="G170" t="s">
        <v>36</v>
      </c>
      <c r="H170" t="s">
        <v>37</v>
      </c>
      <c r="I170" t="s">
        <v>46</v>
      </c>
      <c r="J170" t="s">
        <v>47</v>
      </c>
      <c r="K170" s="2">
        <v>5</v>
      </c>
      <c r="L170" s="3">
        <v>8500</v>
      </c>
      <c r="M170" s="2">
        <v>5</v>
      </c>
      <c r="N170" s="3">
        <v>40375</v>
      </c>
      <c r="O170" s="3">
        <v>28000</v>
      </c>
      <c r="P170" s="3">
        <v>12375</v>
      </c>
      <c r="Q170" t="s">
        <v>40</v>
      </c>
      <c r="R170" t="s">
        <v>49</v>
      </c>
      <c r="S170" t="s">
        <v>59</v>
      </c>
    </row>
    <row r="171" spans="1:19" x14ac:dyDescent="0.3">
      <c r="A171">
        <v>170</v>
      </c>
      <c r="B171" t="s">
        <v>539</v>
      </c>
      <c r="C171" t="s">
        <v>540</v>
      </c>
      <c r="D171" t="s">
        <v>541</v>
      </c>
      <c r="E171" t="s">
        <v>99</v>
      </c>
      <c r="F171" t="s">
        <v>35</v>
      </c>
      <c r="G171" t="s">
        <v>36</v>
      </c>
      <c r="H171" t="s">
        <v>37</v>
      </c>
      <c r="I171" t="s">
        <v>77</v>
      </c>
      <c r="J171" t="s">
        <v>27</v>
      </c>
      <c r="K171" s="2">
        <v>8</v>
      </c>
      <c r="L171" s="3">
        <v>22000</v>
      </c>
      <c r="M171" s="2">
        <v>10</v>
      </c>
      <c r="N171" s="3">
        <v>158400</v>
      </c>
      <c r="O171" s="3">
        <v>124000</v>
      </c>
      <c r="P171" s="3">
        <v>34400</v>
      </c>
      <c r="Q171" t="s">
        <v>40</v>
      </c>
      <c r="R171" t="s">
        <v>29</v>
      </c>
      <c r="S171" t="s">
        <v>59</v>
      </c>
    </row>
    <row r="172" spans="1:19" x14ac:dyDescent="0.3">
      <c r="A172">
        <v>171</v>
      </c>
      <c r="B172" t="s">
        <v>419</v>
      </c>
      <c r="C172" t="s">
        <v>542</v>
      </c>
      <c r="D172" t="s">
        <v>543</v>
      </c>
      <c r="E172" t="s">
        <v>91</v>
      </c>
      <c r="F172" t="s">
        <v>23</v>
      </c>
      <c r="G172" t="s">
        <v>110</v>
      </c>
      <c r="H172" t="s">
        <v>111</v>
      </c>
      <c r="I172" t="s">
        <v>77</v>
      </c>
      <c r="J172" t="s">
        <v>27</v>
      </c>
      <c r="K172" s="2">
        <v>3</v>
      </c>
      <c r="L172" s="3">
        <v>22000</v>
      </c>
      <c r="M172" s="2">
        <v>5</v>
      </c>
      <c r="N172" s="3">
        <v>62700</v>
      </c>
      <c r="O172" s="3">
        <v>46500</v>
      </c>
      <c r="P172" s="3">
        <v>16200</v>
      </c>
      <c r="Q172" t="s">
        <v>58</v>
      </c>
      <c r="R172" t="s">
        <v>84</v>
      </c>
      <c r="S172" t="s">
        <v>30</v>
      </c>
    </row>
    <row r="173" spans="1:19" x14ac:dyDescent="0.3">
      <c r="A173">
        <v>172</v>
      </c>
      <c r="B173" t="s">
        <v>70</v>
      </c>
      <c r="C173" t="s">
        <v>544</v>
      </c>
      <c r="D173" t="s">
        <v>545</v>
      </c>
      <c r="E173" t="s">
        <v>67</v>
      </c>
      <c r="F173" t="s">
        <v>167</v>
      </c>
      <c r="G173" t="s">
        <v>168</v>
      </c>
      <c r="H173" t="s">
        <v>169</v>
      </c>
      <c r="I173" t="s">
        <v>46</v>
      </c>
      <c r="J173" t="s">
        <v>47</v>
      </c>
      <c r="K173" s="2">
        <v>10</v>
      </c>
      <c r="L173" s="3">
        <v>8500</v>
      </c>
      <c r="M173" s="2">
        <v>5</v>
      </c>
      <c r="N173" s="3">
        <v>80750</v>
      </c>
      <c r="O173" s="3">
        <v>56000</v>
      </c>
      <c r="P173" s="3">
        <v>24750</v>
      </c>
      <c r="Q173" t="s">
        <v>40</v>
      </c>
      <c r="R173" t="s">
        <v>84</v>
      </c>
      <c r="S173" t="s">
        <v>30</v>
      </c>
    </row>
    <row r="174" spans="1:19" x14ac:dyDescent="0.3">
      <c r="A174">
        <v>173</v>
      </c>
      <c r="B174" t="s">
        <v>546</v>
      </c>
      <c r="C174" t="s">
        <v>547</v>
      </c>
      <c r="D174" t="s">
        <v>548</v>
      </c>
      <c r="E174" t="s">
        <v>99</v>
      </c>
      <c r="F174" t="s">
        <v>125</v>
      </c>
      <c r="G174" t="s">
        <v>126</v>
      </c>
      <c r="H174" t="s">
        <v>56</v>
      </c>
      <c r="I174" t="s">
        <v>38</v>
      </c>
      <c r="J174" t="s">
        <v>39</v>
      </c>
      <c r="K174" s="2">
        <v>4</v>
      </c>
      <c r="L174" s="3">
        <v>4500</v>
      </c>
      <c r="M174" s="2">
        <v>5</v>
      </c>
      <c r="N174" s="3">
        <v>17100</v>
      </c>
      <c r="O174" s="3">
        <v>10400</v>
      </c>
      <c r="P174" s="3">
        <v>6700</v>
      </c>
      <c r="Q174" t="s">
        <v>28</v>
      </c>
      <c r="R174" t="s">
        <v>49</v>
      </c>
      <c r="S174" t="s">
        <v>59</v>
      </c>
    </row>
    <row r="175" spans="1:19" x14ac:dyDescent="0.3">
      <c r="A175">
        <v>174</v>
      </c>
      <c r="B175" t="s">
        <v>549</v>
      </c>
      <c r="C175" t="s">
        <v>550</v>
      </c>
      <c r="D175" t="s">
        <v>551</v>
      </c>
      <c r="E175" t="s">
        <v>67</v>
      </c>
      <c r="F175" t="s">
        <v>167</v>
      </c>
      <c r="G175" t="s">
        <v>168</v>
      </c>
      <c r="H175" t="s">
        <v>169</v>
      </c>
      <c r="I175" t="s">
        <v>95</v>
      </c>
      <c r="J175" t="s">
        <v>39</v>
      </c>
      <c r="K175" s="2">
        <v>7</v>
      </c>
      <c r="L175" s="3">
        <v>1200</v>
      </c>
      <c r="M175" s="2">
        <v>10</v>
      </c>
      <c r="N175" s="3">
        <v>7560</v>
      </c>
      <c r="O175" s="3">
        <v>4550</v>
      </c>
      <c r="P175" s="3">
        <v>3010</v>
      </c>
      <c r="Q175" t="s">
        <v>83</v>
      </c>
      <c r="R175" t="s">
        <v>49</v>
      </c>
      <c r="S175" t="s">
        <v>59</v>
      </c>
    </row>
    <row r="176" spans="1:19" x14ac:dyDescent="0.3">
      <c r="A176">
        <v>175</v>
      </c>
      <c r="B176" t="s">
        <v>248</v>
      </c>
      <c r="C176" t="s">
        <v>552</v>
      </c>
      <c r="D176" t="s">
        <v>553</v>
      </c>
      <c r="E176" t="s">
        <v>99</v>
      </c>
      <c r="F176" t="s">
        <v>68</v>
      </c>
      <c r="G176" t="s">
        <v>69</v>
      </c>
      <c r="H176" t="s">
        <v>25</v>
      </c>
      <c r="I176" t="s">
        <v>63</v>
      </c>
      <c r="J176" t="s">
        <v>39</v>
      </c>
      <c r="K176" s="2">
        <v>3</v>
      </c>
      <c r="L176" s="3">
        <v>2500</v>
      </c>
      <c r="M176" s="2">
        <v>10</v>
      </c>
      <c r="N176" s="3">
        <v>6750</v>
      </c>
      <c r="O176" s="3">
        <v>4200</v>
      </c>
      <c r="P176" s="3">
        <v>2550</v>
      </c>
      <c r="Q176" t="s">
        <v>40</v>
      </c>
      <c r="R176" t="s">
        <v>29</v>
      </c>
      <c r="S176" t="s">
        <v>41</v>
      </c>
    </row>
    <row r="177" spans="1:19" x14ac:dyDescent="0.3">
      <c r="A177">
        <v>176</v>
      </c>
      <c r="B177" t="s">
        <v>493</v>
      </c>
      <c r="C177" t="s">
        <v>554</v>
      </c>
      <c r="D177" t="s">
        <v>555</v>
      </c>
      <c r="E177" t="s">
        <v>91</v>
      </c>
      <c r="F177" t="s">
        <v>177</v>
      </c>
      <c r="G177" t="s">
        <v>178</v>
      </c>
      <c r="H177" t="s">
        <v>169</v>
      </c>
      <c r="I177" t="s">
        <v>77</v>
      </c>
      <c r="J177" t="s">
        <v>27</v>
      </c>
      <c r="K177" s="2">
        <v>12</v>
      </c>
      <c r="L177" s="3">
        <v>22000</v>
      </c>
      <c r="M177" s="2">
        <v>10</v>
      </c>
      <c r="N177" s="3">
        <v>237600</v>
      </c>
      <c r="O177" s="3">
        <v>186000</v>
      </c>
      <c r="P177" s="3">
        <v>51600</v>
      </c>
      <c r="Q177" t="s">
        <v>28</v>
      </c>
      <c r="R177" t="s">
        <v>84</v>
      </c>
      <c r="S177" t="s">
        <v>41</v>
      </c>
    </row>
    <row r="178" spans="1:19" x14ac:dyDescent="0.3">
      <c r="A178">
        <v>177</v>
      </c>
      <c r="B178" t="s">
        <v>145</v>
      </c>
      <c r="C178" t="s">
        <v>556</v>
      </c>
      <c r="D178" t="s">
        <v>557</v>
      </c>
      <c r="E178" t="s">
        <v>67</v>
      </c>
      <c r="F178" t="s">
        <v>125</v>
      </c>
      <c r="G178" t="s">
        <v>126</v>
      </c>
      <c r="H178" t="s">
        <v>56</v>
      </c>
      <c r="I178" t="s">
        <v>46</v>
      </c>
      <c r="J178" t="s">
        <v>47</v>
      </c>
      <c r="K178" s="2">
        <v>6</v>
      </c>
      <c r="L178" s="3">
        <v>8500</v>
      </c>
      <c r="M178" s="2">
        <v>10</v>
      </c>
      <c r="N178" s="3">
        <v>45900</v>
      </c>
      <c r="O178" s="3">
        <v>33600</v>
      </c>
      <c r="P178" s="3">
        <v>12300</v>
      </c>
      <c r="Q178" t="s">
        <v>58</v>
      </c>
      <c r="R178" t="s">
        <v>49</v>
      </c>
      <c r="S178" t="s">
        <v>30</v>
      </c>
    </row>
    <row r="179" spans="1:19" x14ac:dyDescent="0.3">
      <c r="A179">
        <v>178</v>
      </c>
      <c r="B179" t="s">
        <v>282</v>
      </c>
      <c r="C179" t="s">
        <v>558</v>
      </c>
      <c r="D179" t="s">
        <v>559</v>
      </c>
      <c r="E179" t="s">
        <v>124</v>
      </c>
      <c r="F179" t="s">
        <v>177</v>
      </c>
      <c r="G179" t="s">
        <v>178</v>
      </c>
      <c r="H179" t="s">
        <v>169</v>
      </c>
      <c r="I179" t="s">
        <v>38</v>
      </c>
      <c r="J179" t="s">
        <v>39</v>
      </c>
      <c r="K179" s="2">
        <v>1</v>
      </c>
      <c r="L179" s="3">
        <v>4500</v>
      </c>
      <c r="M179" s="2">
        <v>5</v>
      </c>
      <c r="N179" s="3">
        <v>4275</v>
      </c>
      <c r="O179" s="3">
        <v>2600</v>
      </c>
      <c r="P179" s="3">
        <v>1675</v>
      </c>
      <c r="Q179" t="s">
        <v>83</v>
      </c>
      <c r="R179" t="s">
        <v>29</v>
      </c>
      <c r="S179" t="s">
        <v>30</v>
      </c>
    </row>
    <row r="180" spans="1:19" x14ac:dyDescent="0.3">
      <c r="A180">
        <v>179</v>
      </c>
      <c r="B180" t="s">
        <v>560</v>
      </c>
      <c r="C180" t="s">
        <v>561</v>
      </c>
      <c r="D180" t="s">
        <v>562</v>
      </c>
      <c r="E180" t="s">
        <v>22</v>
      </c>
      <c r="F180" t="s">
        <v>23</v>
      </c>
      <c r="G180" t="s">
        <v>45</v>
      </c>
      <c r="H180" t="s">
        <v>25</v>
      </c>
      <c r="I180" t="s">
        <v>82</v>
      </c>
      <c r="J180" t="s">
        <v>27</v>
      </c>
      <c r="K180" s="2">
        <v>11</v>
      </c>
      <c r="L180" s="3">
        <v>30000</v>
      </c>
      <c r="M180" s="2">
        <v>5</v>
      </c>
      <c r="N180" s="3">
        <v>313500</v>
      </c>
      <c r="O180" s="3">
        <v>231000</v>
      </c>
      <c r="P180" s="3">
        <v>82500</v>
      </c>
      <c r="Q180" t="s">
        <v>40</v>
      </c>
      <c r="R180" t="s">
        <v>49</v>
      </c>
      <c r="S180" t="s">
        <v>30</v>
      </c>
    </row>
    <row r="181" spans="1:19" x14ac:dyDescent="0.3">
      <c r="A181">
        <v>180</v>
      </c>
      <c r="B181" t="s">
        <v>563</v>
      </c>
      <c r="C181" t="s">
        <v>564</v>
      </c>
      <c r="D181" t="s">
        <v>565</v>
      </c>
      <c r="E181" t="s">
        <v>34</v>
      </c>
      <c r="F181" t="s">
        <v>23</v>
      </c>
      <c r="G181" t="s">
        <v>24</v>
      </c>
      <c r="H181" t="s">
        <v>25</v>
      </c>
      <c r="I181" t="s">
        <v>57</v>
      </c>
      <c r="J181" t="s">
        <v>27</v>
      </c>
      <c r="K181" s="2">
        <v>10</v>
      </c>
      <c r="L181" s="3">
        <v>18000</v>
      </c>
      <c r="M181" s="2">
        <v>0</v>
      </c>
      <c r="N181" s="3">
        <v>180000</v>
      </c>
      <c r="O181" s="3">
        <v>125000</v>
      </c>
      <c r="P181" s="3">
        <v>55000</v>
      </c>
      <c r="Q181" t="s">
        <v>48</v>
      </c>
      <c r="R181" t="s">
        <v>84</v>
      </c>
      <c r="S181" t="s">
        <v>30</v>
      </c>
    </row>
    <row r="182" spans="1:19" x14ac:dyDescent="0.3">
      <c r="A182">
        <v>181</v>
      </c>
      <c r="B182" t="s">
        <v>399</v>
      </c>
      <c r="C182" t="s">
        <v>566</v>
      </c>
      <c r="D182" t="s">
        <v>567</v>
      </c>
      <c r="E182" t="s">
        <v>124</v>
      </c>
      <c r="F182" t="s">
        <v>35</v>
      </c>
      <c r="G182" t="s">
        <v>36</v>
      </c>
      <c r="H182" t="s">
        <v>37</v>
      </c>
      <c r="I182" t="s">
        <v>46</v>
      </c>
      <c r="J182" t="s">
        <v>47</v>
      </c>
      <c r="K182" s="2">
        <v>1</v>
      </c>
      <c r="L182" s="3">
        <v>8500</v>
      </c>
      <c r="M182" s="2">
        <v>10</v>
      </c>
      <c r="N182" s="3">
        <v>7650</v>
      </c>
      <c r="O182" s="3">
        <v>5600</v>
      </c>
      <c r="P182" s="3">
        <v>2050</v>
      </c>
      <c r="Q182" t="s">
        <v>40</v>
      </c>
      <c r="R182" t="s">
        <v>29</v>
      </c>
      <c r="S182" t="s">
        <v>59</v>
      </c>
    </row>
    <row r="183" spans="1:19" x14ac:dyDescent="0.3">
      <c r="A183">
        <v>182</v>
      </c>
      <c r="B183" t="s">
        <v>568</v>
      </c>
      <c r="C183" t="s">
        <v>569</v>
      </c>
      <c r="D183" t="s">
        <v>570</v>
      </c>
      <c r="E183" t="s">
        <v>53</v>
      </c>
      <c r="F183" t="s">
        <v>68</v>
      </c>
      <c r="G183" t="s">
        <v>69</v>
      </c>
      <c r="H183" t="s">
        <v>25</v>
      </c>
      <c r="I183" t="s">
        <v>63</v>
      </c>
      <c r="J183" t="s">
        <v>39</v>
      </c>
      <c r="K183" s="2">
        <v>6</v>
      </c>
      <c r="L183" s="3">
        <v>2500</v>
      </c>
      <c r="M183" s="2">
        <v>0</v>
      </c>
      <c r="N183" s="3">
        <v>15000</v>
      </c>
      <c r="O183" s="3">
        <v>8400</v>
      </c>
      <c r="P183" s="3">
        <v>6600</v>
      </c>
      <c r="Q183" t="s">
        <v>28</v>
      </c>
      <c r="R183" t="s">
        <v>84</v>
      </c>
      <c r="S183" t="s">
        <v>30</v>
      </c>
    </row>
    <row r="184" spans="1:19" x14ac:dyDescent="0.3">
      <c r="A184">
        <v>183</v>
      </c>
      <c r="B184" t="s">
        <v>571</v>
      </c>
      <c r="C184" t="s">
        <v>572</v>
      </c>
      <c r="D184" t="s">
        <v>573</v>
      </c>
      <c r="E184" t="s">
        <v>109</v>
      </c>
      <c r="F184" t="s">
        <v>23</v>
      </c>
      <c r="G184" t="s">
        <v>24</v>
      </c>
      <c r="H184" t="s">
        <v>25</v>
      </c>
      <c r="I184" t="s">
        <v>82</v>
      </c>
      <c r="J184" t="s">
        <v>27</v>
      </c>
      <c r="K184" s="2">
        <v>12</v>
      </c>
      <c r="L184" s="3">
        <v>30000</v>
      </c>
      <c r="M184" s="2">
        <v>10</v>
      </c>
      <c r="N184" s="3">
        <v>324000</v>
      </c>
      <c r="O184" s="3">
        <v>252000</v>
      </c>
      <c r="P184" s="3">
        <v>72000</v>
      </c>
      <c r="Q184" t="s">
        <v>40</v>
      </c>
      <c r="R184" t="s">
        <v>84</v>
      </c>
      <c r="S184" t="s">
        <v>30</v>
      </c>
    </row>
    <row r="185" spans="1:19" x14ac:dyDescent="0.3">
      <c r="A185">
        <v>184</v>
      </c>
      <c r="B185" t="s">
        <v>42</v>
      </c>
      <c r="C185" t="s">
        <v>574</v>
      </c>
      <c r="D185" t="s">
        <v>575</v>
      </c>
      <c r="E185" t="s">
        <v>53</v>
      </c>
      <c r="F185" t="s">
        <v>177</v>
      </c>
      <c r="G185" t="s">
        <v>178</v>
      </c>
      <c r="H185" t="s">
        <v>169</v>
      </c>
      <c r="I185" t="s">
        <v>95</v>
      </c>
      <c r="J185" t="s">
        <v>39</v>
      </c>
      <c r="K185" s="2">
        <v>8</v>
      </c>
      <c r="L185" s="3">
        <v>1200</v>
      </c>
      <c r="M185" s="2">
        <v>5</v>
      </c>
      <c r="N185" s="3">
        <v>9120</v>
      </c>
      <c r="O185" s="3">
        <v>5200</v>
      </c>
      <c r="P185" s="3">
        <v>3920</v>
      </c>
      <c r="Q185" t="s">
        <v>83</v>
      </c>
      <c r="R185" t="s">
        <v>49</v>
      </c>
      <c r="S185" t="s">
        <v>30</v>
      </c>
    </row>
    <row r="186" spans="1:19" x14ac:dyDescent="0.3">
      <c r="A186">
        <v>185</v>
      </c>
      <c r="B186" t="s">
        <v>307</v>
      </c>
      <c r="C186" t="s">
        <v>576</v>
      </c>
      <c r="D186" t="s">
        <v>577</v>
      </c>
      <c r="E186" t="s">
        <v>53</v>
      </c>
      <c r="F186" t="s">
        <v>54</v>
      </c>
      <c r="G186" t="s">
        <v>55</v>
      </c>
      <c r="H186" t="s">
        <v>56</v>
      </c>
      <c r="I186" t="s">
        <v>73</v>
      </c>
      <c r="J186" t="s">
        <v>47</v>
      </c>
      <c r="K186" s="2">
        <v>2</v>
      </c>
      <c r="L186" s="3">
        <v>12000</v>
      </c>
      <c r="M186" s="2">
        <v>0</v>
      </c>
      <c r="N186" s="3">
        <v>24000</v>
      </c>
      <c r="O186" s="3">
        <v>16000</v>
      </c>
      <c r="P186" s="3">
        <v>8000</v>
      </c>
      <c r="Q186" t="s">
        <v>28</v>
      </c>
      <c r="R186" t="s">
        <v>84</v>
      </c>
      <c r="S186" t="s">
        <v>41</v>
      </c>
    </row>
    <row r="187" spans="1:19" x14ac:dyDescent="0.3">
      <c r="A187">
        <v>186</v>
      </c>
      <c r="B187" t="s">
        <v>399</v>
      </c>
      <c r="C187" t="s">
        <v>578</v>
      </c>
      <c r="D187" t="s">
        <v>579</v>
      </c>
      <c r="E187" t="s">
        <v>34</v>
      </c>
      <c r="F187" t="s">
        <v>23</v>
      </c>
      <c r="G187" t="s">
        <v>24</v>
      </c>
      <c r="H187" t="s">
        <v>25</v>
      </c>
      <c r="I187" t="s">
        <v>57</v>
      </c>
      <c r="J187" t="s">
        <v>27</v>
      </c>
      <c r="K187" s="2">
        <v>8</v>
      </c>
      <c r="L187" s="3">
        <v>18000</v>
      </c>
      <c r="M187" s="2">
        <v>10</v>
      </c>
      <c r="N187" s="3">
        <v>129600</v>
      </c>
      <c r="O187" s="3">
        <v>100000</v>
      </c>
      <c r="P187" s="3">
        <v>29600</v>
      </c>
      <c r="Q187" t="s">
        <v>58</v>
      </c>
      <c r="R187" t="s">
        <v>84</v>
      </c>
      <c r="S187" t="s">
        <v>59</v>
      </c>
    </row>
    <row r="188" spans="1:19" x14ac:dyDescent="0.3">
      <c r="A188">
        <v>187</v>
      </c>
      <c r="B188" t="s">
        <v>580</v>
      </c>
      <c r="C188" t="s">
        <v>581</v>
      </c>
      <c r="D188" t="s">
        <v>582</v>
      </c>
      <c r="E188" t="s">
        <v>91</v>
      </c>
      <c r="F188" t="s">
        <v>68</v>
      </c>
      <c r="G188" t="s">
        <v>69</v>
      </c>
      <c r="H188" t="s">
        <v>25</v>
      </c>
      <c r="I188" t="s">
        <v>144</v>
      </c>
      <c r="J188" t="s">
        <v>27</v>
      </c>
      <c r="K188" s="2">
        <v>9</v>
      </c>
      <c r="L188" s="3">
        <v>14000</v>
      </c>
      <c r="M188" s="2">
        <v>0</v>
      </c>
      <c r="N188" s="3">
        <v>126000</v>
      </c>
      <c r="O188" s="3">
        <v>85500</v>
      </c>
      <c r="P188" s="3">
        <v>40500</v>
      </c>
      <c r="Q188" t="s">
        <v>58</v>
      </c>
      <c r="R188" t="s">
        <v>29</v>
      </c>
      <c r="S188" t="s">
        <v>59</v>
      </c>
    </row>
    <row r="189" spans="1:19" x14ac:dyDescent="0.3">
      <c r="A189">
        <v>188</v>
      </c>
      <c r="B189" t="s">
        <v>583</v>
      </c>
      <c r="C189" t="s">
        <v>584</v>
      </c>
      <c r="D189" t="s">
        <v>585</v>
      </c>
      <c r="E189" t="s">
        <v>124</v>
      </c>
      <c r="F189" t="s">
        <v>35</v>
      </c>
      <c r="G189" t="s">
        <v>36</v>
      </c>
      <c r="H189" t="s">
        <v>37</v>
      </c>
      <c r="I189" t="s">
        <v>73</v>
      </c>
      <c r="J189" t="s">
        <v>47</v>
      </c>
      <c r="K189" s="2">
        <v>8</v>
      </c>
      <c r="L189" s="3">
        <v>12000</v>
      </c>
      <c r="M189" s="2">
        <v>10</v>
      </c>
      <c r="N189" s="3">
        <v>86400</v>
      </c>
      <c r="O189" s="3">
        <v>64000</v>
      </c>
      <c r="P189" s="3">
        <v>22400</v>
      </c>
      <c r="Q189" t="s">
        <v>40</v>
      </c>
      <c r="R189" t="s">
        <v>29</v>
      </c>
      <c r="S189" t="s">
        <v>59</v>
      </c>
    </row>
    <row r="190" spans="1:19" x14ac:dyDescent="0.3">
      <c r="A190">
        <v>189</v>
      </c>
      <c r="B190" t="s">
        <v>586</v>
      </c>
      <c r="C190" t="s">
        <v>587</v>
      </c>
      <c r="D190" t="s">
        <v>588</v>
      </c>
      <c r="E190" t="s">
        <v>22</v>
      </c>
      <c r="F190" t="s">
        <v>23</v>
      </c>
      <c r="G190" t="s">
        <v>173</v>
      </c>
      <c r="H190" t="s">
        <v>25</v>
      </c>
      <c r="I190" t="s">
        <v>26</v>
      </c>
      <c r="J190" t="s">
        <v>27</v>
      </c>
      <c r="K190" s="2">
        <v>4</v>
      </c>
      <c r="L190" s="3">
        <v>55000</v>
      </c>
      <c r="M190" s="2">
        <v>5</v>
      </c>
      <c r="N190" s="3">
        <v>209000</v>
      </c>
      <c r="O190" s="3">
        <v>152000</v>
      </c>
      <c r="P190" s="3">
        <v>57000</v>
      </c>
      <c r="Q190" t="s">
        <v>28</v>
      </c>
      <c r="R190" t="s">
        <v>49</v>
      </c>
      <c r="S190" t="s">
        <v>59</v>
      </c>
    </row>
    <row r="191" spans="1:19" x14ac:dyDescent="0.3">
      <c r="A191">
        <v>190</v>
      </c>
      <c r="B191" t="s">
        <v>307</v>
      </c>
      <c r="C191" t="s">
        <v>589</v>
      </c>
      <c r="D191" t="s">
        <v>590</v>
      </c>
      <c r="E191" t="s">
        <v>34</v>
      </c>
      <c r="F191" t="s">
        <v>23</v>
      </c>
      <c r="G191" t="s">
        <v>24</v>
      </c>
      <c r="H191" t="s">
        <v>25</v>
      </c>
      <c r="I191" t="s">
        <v>26</v>
      </c>
      <c r="J191" t="s">
        <v>27</v>
      </c>
      <c r="K191" s="2">
        <v>8</v>
      </c>
      <c r="L191" s="3">
        <v>55000</v>
      </c>
      <c r="M191" s="2">
        <v>10</v>
      </c>
      <c r="N191" s="3">
        <v>396000</v>
      </c>
      <c r="O191" s="3">
        <v>304000</v>
      </c>
      <c r="P191" s="3">
        <v>92000</v>
      </c>
      <c r="Q191" t="s">
        <v>28</v>
      </c>
      <c r="R191" t="s">
        <v>29</v>
      </c>
      <c r="S191" t="s">
        <v>59</v>
      </c>
    </row>
    <row r="192" spans="1:19" x14ac:dyDescent="0.3">
      <c r="A192">
        <v>191</v>
      </c>
      <c r="B192" t="s">
        <v>591</v>
      </c>
      <c r="C192" t="s">
        <v>592</v>
      </c>
      <c r="D192" t="s">
        <v>593</v>
      </c>
      <c r="E192" t="s">
        <v>91</v>
      </c>
      <c r="F192" t="s">
        <v>104</v>
      </c>
      <c r="G192" t="s">
        <v>105</v>
      </c>
      <c r="H192" t="s">
        <v>56</v>
      </c>
      <c r="I192" t="s">
        <v>144</v>
      </c>
      <c r="J192" t="s">
        <v>27</v>
      </c>
      <c r="K192" s="2">
        <v>9</v>
      </c>
      <c r="L192" s="3">
        <v>14000</v>
      </c>
      <c r="M192" s="2">
        <v>10</v>
      </c>
      <c r="N192" s="3">
        <v>113400</v>
      </c>
      <c r="O192" s="3">
        <v>85500</v>
      </c>
      <c r="P192" s="3">
        <v>27900</v>
      </c>
      <c r="Q192" t="s">
        <v>40</v>
      </c>
      <c r="R192" t="s">
        <v>49</v>
      </c>
      <c r="S192" t="s">
        <v>30</v>
      </c>
    </row>
    <row r="193" spans="1:19" x14ac:dyDescent="0.3">
      <c r="A193">
        <v>192</v>
      </c>
      <c r="B193" t="s">
        <v>396</v>
      </c>
      <c r="C193" t="s">
        <v>594</v>
      </c>
      <c r="D193" t="s">
        <v>595</v>
      </c>
      <c r="E193" t="s">
        <v>91</v>
      </c>
      <c r="F193" t="s">
        <v>177</v>
      </c>
      <c r="G193" t="s">
        <v>178</v>
      </c>
      <c r="H193" t="s">
        <v>169</v>
      </c>
      <c r="I193" t="s">
        <v>26</v>
      </c>
      <c r="J193" t="s">
        <v>27</v>
      </c>
      <c r="K193" s="2">
        <v>8</v>
      </c>
      <c r="L193" s="3">
        <v>55000</v>
      </c>
      <c r="M193" s="2">
        <v>0</v>
      </c>
      <c r="N193" s="3">
        <v>440000</v>
      </c>
      <c r="O193" s="3">
        <v>304000</v>
      </c>
      <c r="P193" s="3">
        <v>136000</v>
      </c>
      <c r="Q193" t="s">
        <v>48</v>
      </c>
      <c r="R193" t="s">
        <v>49</v>
      </c>
      <c r="S193" t="s">
        <v>30</v>
      </c>
    </row>
    <row r="194" spans="1:19" x14ac:dyDescent="0.3">
      <c r="A194">
        <v>193</v>
      </c>
      <c r="B194" t="s">
        <v>256</v>
      </c>
      <c r="C194" t="s">
        <v>596</v>
      </c>
      <c r="D194" t="s">
        <v>597</v>
      </c>
      <c r="E194" t="s">
        <v>67</v>
      </c>
      <c r="F194" t="s">
        <v>104</v>
      </c>
      <c r="G194" t="s">
        <v>105</v>
      </c>
      <c r="H194" t="s">
        <v>56</v>
      </c>
      <c r="I194" t="s">
        <v>157</v>
      </c>
      <c r="J194" t="s">
        <v>47</v>
      </c>
      <c r="K194" s="2">
        <v>7</v>
      </c>
      <c r="L194" s="3">
        <v>15000</v>
      </c>
      <c r="M194" s="2">
        <v>5</v>
      </c>
      <c r="N194" s="3">
        <v>99750</v>
      </c>
      <c r="O194" s="3">
        <v>70000</v>
      </c>
      <c r="P194" s="3">
        <v>29750</v>
      </c>
      <c r="Q194" t="s">
        <v>58</v>
      </c>
      <c r="R194" t="s">
        <v>29</v>
      </c>
      <c r="S194" t="s">
        <v>59</v>
      </c>
    </row>
    <row r="195" spans="1:19" x14ac:dyDescent="0.3">
      <c r="A195">
        <v>194</v>
      </c>
      <c r="B195" t="s">
        <v>262</v>
      </c>
      <c r="C195" t="s">
        <v>598</v>
      </c>
      <c r="D195" t="s">
        <v>599</v>
      </c>
      <c r="E195" t="s">
        <v>67</v>
      </c>
      <c r="F195" t="s">
        <v>54</v>
      </c>
      <c r="G195" t="s">
        <v>55</v>
      </c>
      <c r="H195" t="s">
        <v>56</v>
      </c>
      <c r="I195" t="s">
        <v>100</v>
      </c>
      <c r="J195" t="s">
        <v>39</v>
      </c>
      <c r="K195" s="2">
        <v>12</v>
      </c>
      <c r="L195" s="3">
        <v>3500</v>
      </c>
      <c r="M195" s="2">
        <v>5</v>
      </c>
      <c r="N195" s="3">
        <v>39900</v>
      </c>
      <c r="O195" s="3">
        <v>22800</v>
      </c>
      <c r="P195" s="3">
        <v>17100</v>
      </c>
      <c r="Q195" t="s">
        <v>58</v>
      </c>
      <c r="R195" t="s">
        <v>29</v>
      </c>
      <c r="S195" t="s">
        <v>41</v>
      </c>
    </row>
    <row r="196" spans="1:19" x14ac:dyDescent="0.3">
      <c r="A196">
        <v>195</v>
      </c>
      <c r="B196" t="s">
        <v>299</v>
      </c>
      <c r="C196" t="s">
        <v>600</v>
      </c>
      <c r="D196" t="s">
        <v>601</v>
      </c>
      <c r="E196" t="s">
        <v>34</v>
      </c>
      <c r="F196" t="s">
        <v>54</v>
      </c>
      <c r="G196" t="s">
        <v>55</v>
      </c>
      <c r="H196" t="s">
        <v>56</v>
      </c>
      <c r="I196" t="s">
        <v>95</v>
      </c>
      <c r="J196" t="s">
        <v>39</v>
      </c>
      <c r="K196" s="2">
        <v>9</v>
      </c>
      <c r="L196" s="3">
        <v>1200</v>
      </c>
      <c r="M196" s="2">
        <v>0</v>
      </c>
      <c r="N196" s="3">
        <v>10800</v>
      </c>
      <c r="O196" s="3">
        <v>5850</v>
      </c>
      <c r="P196" s="3">
        <v>4950</v>
      </c>
      <c r="Q196" t="s">
        <v>83</v>
      </c>
      <c r="R196" t="s">
        <v>84</v>
      </c>
      <c r="S196" t="s">
        <v>59</v>
      </c>
    </row>
    <row r="197" spans="1:19" x14ac:dyDescent="0.3">
      <c r="A197">
        <v>196</v>
      </c>
      <c r="B197" t="s">
        <v>106</v>
      </c>
      <c r="C197" t="s">
        <v>602</v>
      </c>
      <c r="D197" t="s">
        <v>603</v>
      </c>
      <c r="E197" t="s">
        <v>67</v>
      </c>
      <c r="F197" t="s">
        <v>68</v>
      </c>
      <c r="G197" t="s">
        <v>81</v>
      </c>
      <c r="H197" t="s">
        <v>25</v>
      </c>
      <c r="I197" t="s">
        <v>82</v>
      </c>
      <c r="J197" t="s">
        <v>27</v>
      </c>
      <c r="K197" s="2">
        <v>2</v>
      </c>
      <c r="L197" s="3">
        <v>30000</v>
      </c>
      <c r="M197" s="2">
        <v>10</v>
      </c>
      <c r="N197" s="3">
        <v>54000</v>
      </c>
      <c r="O197" s="3">
        <v>42000</v>
      </c>
      <c r="P197" s="3">
        <v>12000</v>
      </c>
      <c r="Q197" t="s">
        <v>48</v>
      </c>
      <c r="R197" t="s">
        <v>84</v>
      </c>
      <c r="S197" t="s">
        <v>41</v>
      </c>
    </row>
    <row r="198" spans="1:19" x14ac:dyDescent="0.3">
      <c r="A198">
        <v>197</v>
      </c>
      <c r="B198" t="s">
        <v>211</v>
      </c>
      <c r="C198" t="s">
        <v>604</v>
      </c>
      <c r="D198" t="s">
        <v>605</v>
      </c>
      <c r="E198" t="s">
        <v>53</v>
      </c>
      <c r="F198" t="s">
        <v>68</v>
      </c>
      <c r="G198" t="s">
        <v>81</v>
      </c>
      <c r="H198" t="s">
        <v>25</v>
      </c>
      <c r="I198" t="s">
        <v>63</v>
      </c>
      <c r="J198" t="s">
        <v>39</v>
      </c>
      <c r="K198" s="2">
        <v>12</v>
      </c>
      <c r="L198" s="3">
        <v>2500</v>
      </c>
      <c r="M198" s="2">
        <v>15</v>
      </c>
      <c r="N198" s="3">
        <v>25500</v>
      </c>
      <c r="O198" s="3">
        <v>16800</v>
      </c>
      <c r="P198" s="3">
        <v>8700</v>
      </c>
      <c r="Q198" t="s">
        <v>28</v>
      </c>
      <c r="R198" t="s">
        <v>29</v>
      </c>
      <c r="S198" t="s">
        <v>41</v>
      </c>
    </row>
    <row r="199" spans="1:19" x14ac:dyDescent="0.3">
      <c r="A199">
        <v>198</v>
      </c>
      <c r="B199" t="s">
        <v>245</v>
      </c>
      <c r="C199" t="s">
        <v>606</v>
      </c>
      <c r="D199" t="s">
        <v>607</v>
      </c>
      <c r="E199" t="s">
        <v>67</v>
      </c>
      <c r="F199" t="s">
        <v>23</v>
      </c>
      <c r="G199" t="s">
        <v>45</v>
      </c>
      <c r="H199" t="s">
        <v>25</v>
      </c>
      <c r="I199" t="s">
        <v>82</v>
      </c>
      <c r="J199" t="s">
        <v>27</v>
      </c>
      <c r="K199" s="2">
        <v>10</v>
      </c>
      <c r="L199" s="3">
        <v>30000</v>
      </c>
      <c r="M199" s="2">
        <v>0</v>
      </c>
      <c r="N199" s="3">
        <v>300000</v>
      </c>
      <c r="O199" s="3">
        <v>210000</v>
      </c>
      <c r="P199" s="3">
        <v>90000</v>
      </c>
      <c r="Q199" t="s">
        <v>28</v>
      </c>
      <c r="R199" t="s">
        <v>84</v>
      </c>
      <c r="S199" t="s">
        <v>59</v>
      </c>
    </row>
    <row r="200" spans="1:19" x14ac:dyDescent="0.3">
      <c r="A200">
        <v>199</v>
      </c>
      <c r="B200" t="s">
        <v>608</v>
      </c>
      <c r="C200" t="s">
        <v>609</v>
      </c>
      <c r="D200" t="s">
        <v>610</v>
      </c>
      <c r="E200" t="s">
        <v>91</v>
      </c>
      <c r="F200" t="s">
        <v>54</v>
      </c>
      <c r="G200" t="s">
        <v>55</v>
      </c>
      <c r="H200" t="s">
        <v>56</v>
      </c>
      <c r="I200" t="s">
        <v>73</v>
      </c>
      <c r="J200" t="s">
        <v>47</v>
      </c>
      <c r="K200" s="2">
        <v>8</v>
      </c>
      <c r="L200" s="3">
        <v>12000</v>
      </c>
      <c r="M200" s="2">
        <v>10</v>
      </c>
      <c r="N200" s="3">
        <v>86400</v>
      </c>
      <c r="O200" s="3">
        <v>64000</v>
      </c>
      <c r="P200" s="3">
        <v>22400</v>
      </c>
      <c r="Q200" t="s">
        <v>83</v>
      </c>
      <c r="R200" t="s">
        <v>29</v>
      </c>
      <c r="S200" t="s">
        <v>59</v>
      </c>
    </row>
    <row r="201" spans="1:19" x14ac:dyDescent="0.3">
      <c r="A201">
        <v>200</v>
      </c>
      <c r="B201" t="s">
        <v>187</v>
      </c>
      <c r="C201" t="s">
        <v>611</v>
      </c>
      <c r="D201" t="s">
        <v>612</v>
      </c>
      <c r="E201" t="s">
        <v>124</v>
      </c>
      <c r="F201" t="s">
        <v>167</v>
      </c>
      <c r="G201" t="s">
        <v>168</v>
      </c>
      <c r="H201" t="s">
        <v>169</v>
      </c>
      <c r="I201" t="s">
        <v>100</v>
      </c>
      <c r="J201" t="s">
        <v>39</v>
      </c>
      <c r="K201" s="2">
        <v>11</v>
      </c>
      <c r="L201" s="3">
        <v>3500</v>
      </c>
      <c r="M201" s="2">
        <v>5</v>
      </c>
      <c r="N201" s="3">
        <v>36575</v>
      </c>
      <c r="O201" s="3">
        <v>20900</v>
      </c>
      <c r="P201" s="3">
        <v>15675</v>
      </c>
      <c r="Q201" t="s">
        <v>48</v>
      </c>
      <c r="R201" t="s">
        <v>29</v>
      </c>
      <c r="S201" t="s">
        <v>59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78A6A-2413-46CD-BCE8-09A5A7EF2A5F}">
  <dimension ref="A1:S24"/>
  <sheetViews>
    <sheetView workbookViewId="0"/>
  </sheetViews>
  <sheetFormatPr defaultRowHeight="14.4" x14ac:dyDescent="0.3"/>
  <cols>
    <col min="1" max="1" width="15.88671875" bestFit="1" customWidth="1"/>
    <col min="2" max="2" width="14" bestFit="1" customWidth="1"/>
    <col min="3" max="3" width="17.21875" bestFit="1" customWidth="1"/>
    <col min="4" max="4" width="24" bestFit="1" customWidth="1"/>
    <col min="5" max="5" width="20.33203125" bestFit="1" customWidth="1"/>
    <col min="6" max="6" width="14.44140625" bestFit="1" customWidth="1"/>
    <col min="7" max="7" width="13.33203125" bestFit="1" customWidth="1"/>
    <col min="8" max="8" width="16" bestFit="1" customWidth="1"/>
    <col min="9" max="9" width="16.88671875" bestFit="1" customWidth="1"/>
    <col min="10" max="10" width="17.77734375" bestFit="1" customWidth="1"/>
    <col min="11" max="11" width="17.5546875" bestFit="1" customWidth="1"/>
    <col min="12" max="12" width="18.33203125" bestFit="1" customWidth="1"/>
    <col min="13" max="13" width="19.5546875" bestFit="1" customWidth="1"/>
    <col min="14" max="14" width="21.88671875" bestFit="1" customWidth="1"/>
    <col min="15" max="15" width="13.77734375" bestFit="1" customWidth="1"/>
    <col min="16" max="16" width="14.77734375" bestFit="1" customWidth="1"/>
    <col min="17" max="17" width="23.33203125" bestFit="1" customWidth="1"/>
    <col min="18" max="18" width="23" bestFit="1" customWidth="1"/>
    <col min="19" max="19" width="21.88671875" bestFit="1" customWidth="1"/>
  </cols>
  <sheetData>
    <row r="1" spans="1:19" x14ac:dyDescent="0.3">
      <c r="A1" s="9" t="s">
        <v>641</v>
      </c>
    </row>
    <row r="3" spans="1:19" x14ac:dyDescent="0.3">
      <c r="A3" t="s">
        <v>622</v>
      </c>
      <c r="B3" t="s">
        <v>623</v>
      </c>
      <c r="C3" t="s">
        <v>624</v>
      </c>
      <c r="D3" t="s">
        <v>625</v>
      </c>
      <c r="E3" t="s">
        <v>626</v>
      </c>
      <c r="F3" t="s">
        <v>627</v>
      </c>
      <c r="G3" t="s">
        <v>628</v>
      </c>
      <c r="H3" t="s">
        <v>629</v>
      </c>
      <c r="I3" t="s">
        <v>630</v>
      </c>
      <c r="J3" t="s">
        <v>631</v>
      </c>
      <c r="K3" t="s">
        <v>632</v>
      </c>
      <c r="L3" t="s">
        <v>633</v>
      </c>
      <c r="M3" t="s">
        <v>634</v>
      </c>
      <c r="N3" t="s">
        <v>635</v>
      </c>
      <c r="O3" t="s">
        <v>636</v>
      </c>
      <c r="P3" t="s">
        <v>637</v>
      </c>
      <c r="Q3" t="s">
        <v>638</v>
      </c>
      <c r="R3" t="s">
        <v>639</v>
      </c>
      <c r="S3" t="s">
        <v>640</v>
      </c>
    </row>
    <row r="4" spans="1:19" x14ac:dyDescent="0.3">
      <c r="A4">
        <v>7</v>
      </c>
      <c r="B4" t="s">
        <v>70</v>
      </c>
      <c r="C4" t="s">
        <v>71</v>
      </c>
      <c r="D4" t="s">
        <v>72</v>
      </c>
      <c r="E4" t="s">
        <v>22</v>
      </c>
      <c r="F4" t="s">
        <v>35</v>
      </c>
      <c r="G4" t="s">
        <v>36</v>
      </c>
      <c r="H4" t="s">
        <v>37</v>
      </c>
      <c r="I4" t="s">
        <v>73</v>
      </c>
      <c r="J4" t="s">
        <v>47</v>
      </c>
      <c r="K4">
        <v>6</v>
      </c>
      <c r="L4">
        <v>12000</v>
      </c>
      <c r="M4">
        <v>10</v>
      </c>
      <c r="N4">
        <v>64800</v>
      </c>
      <c r="O4">
        <v>48000</v>
      </c>
      <c r="P4">
        <v>16800</v>
      </c>
      <c r="Q4" t="s">
        <v>40</v>
      </c>
      <c r="R4" t="s">
        <v>29</v>
      </c>
      <c r="S4" t="s">
        <v>30</v>
      </c>
    </row>
    <row r="5" spans="1:19" x14ac:dyDescent="0.3">
      <c r="A5">
        <v>10</v>
      </c>
      <c r="B5" t="s">
        <v>85</v>
      </c>
      <c r="C5" t="s">
        <v>86</v>
      </c>
      <c r="D5" t="s">
        <v>87</v>
      </c>
      <c r="E5" t="s">
        <v>22</v>
      </c>
      <c r="F5" t="s">
        <v>23</v>
      </c>
      <c r="G5" t="s">
        <v>24</v>
      </c>
      <c r="H5" t="s">
        <v>25</v>
      </c>
      <c r="I5" t="s">
        <v>73</v>
      </c>
      <c r="J5" t="s">
        <v>47</v>
      </c>
      <c r="K5">
        <v>11</v>
      </c>
      <c r="L5">
        <v>12000</v>
      </c>
      <c r="M5">
        <v>0</v>
      </c>
      <c r="N5">
        <v>132000</v>
      </c>
      <c r="O5">
        <v>88000</v>
      </c>
      <c r="P5">
        <v>44000</v>
      </c>
      <c r="Q5" t="s">
        <v>28</v>
      </c>
      <c r="R5" t="s">
        <v>49</v>
      </c>
      <c r="S5" t="s">
        <v>59</v>
      </c>
    </row>
    <row r="6" spans="1:19" x14ac:dyDescent="0.3">
      <c r="A6">
        <v>28</v>
      </c>
      <c r="B6" t="s">
        <v>151</v>
      </c>
      <c r="C6" t="s">
        <v>152</v>
      </c>
      <c r="D6" t="s">
        <v>153</v>
      </c>
      <c r="E6" t="s">
        <v>22</v>
      </c>
      <c r="F6" t="s">
        <v>104</v>
      </c>
      <c r="G6" t="s">
        <v>105</v>
      </c>
      <c r="H6" t="s">
        <v>56</v>
      </c>
      <c r="I6" t="s">
        <v>73</v>
      </c>
      <c r="J6" t="s">
        <v>47</v>
      </c>
      <c r="K6">
        <v>10</v>
      </c>
      <c r="L6">
        <v>12000</v>
      </c>
      <c r="M6">
        <v>5</v>
      </c>
      <c r="N6">
        <v>114000</v>
      </c>
      <c r="O6">
        <v>80000</v>
      </c>
      <c r="P6">
        <v>34000</v>
      </c>
      <c r="Q6" t="s">
        <v>58</v>
      </c>
      <c r="R6" t="s">
        <v>49</v>
      </c>
      <c r="S6" t="s">
        <v>41</v>
      </c>
    </row>
    <row r="7" spans="1:19" x14ac:dyDescent="0.3">
      <c r="A7">
        <v>36</v>
      </c>
      <c r="B7" t="s">
        <v>42</v>
      </c>
      <c r="C7" t="s">
        <v>182</v>
      </c>
      <c r="D7" t="s">
        <v>183</v>
      </c>
      <c r="E7" t="s">
        <v>109</v>
      </c>
      <c r="F7" t="s">
        <v>23</v>
      </c>
      <c r="G7" t="s">
        <v>173</v>
      </c>
      <c r="H7" t="s">
        <v>25</v>
      </c>
      <c r="I7" t="s">
        <v>73</v>
      </c>
      <c r="J7" t="s">
        <v>47</v>
      </c>
      <c r="K7">
        <v>12</v>
      </c>
      <c r="L7">
        <v>12000</v>
      </c>
      <c r="M7">
        <v>10</v>
      </c>
      <c r="N7">
        <v>129600</v>
      </c>
      <c r="O7">
        <v>96000</v>
      </c>
      <c r="P7">
        <v>33600</v>
      </c>
      <c r="Q7" t="s">
        <v>83</v>
      </c>
      <c r="R7" t="s">
        <v>29</v>
      </c>
      <c r="S7" t="s">
        <v>41</v>
      </c>
    </row>
    <row r="8" spans="1:19" x14ac:dyDescent="0.3">
      <c r="A8">
        <v>39</v>
      </c>
      <c r="B8" t="s">
        <v>101</v>
      </c>
      <c r="C8" t="s">
        <v>190</v>
      </c>
      <c r="D8" t="s">
        <v>191</v>
      </c>
      <c r="E8" t="s">
        <v>67</v>
      </c>
      <c r="F8" t="s">
        <v>54</v>
      </c>
      <c r="G8" t="s">
        <v>55</v>
      </c>
      <c r="H8" t="s">
        <v>56</v>
      </c>
      <c r="I8" t="s">
        <v>73</v>
      </c>
      <c r="J8" t="s">
        <v>47</v>
      </c>
      <c r="K8">
        <v>1</v>
      </c>
      <c r="L8">
        <v>12000</v>
      </c>
      <c r="M8">
        <v>10</v>
      </c>
      <c r="N8">
        <v>10800</v>
      </c>
      <c r="O8">
        <v>8000</v>
      </c>
      <c r="P8">
        <v>2800</v>
      </c>
      <c r="Q8" t="s">
        <v>58</v>
      </c>
      <c r="R8" t="s">
        <v>84</v>
      </c>
      <c r="S8" t="s">
        <v>30</v>
      </c>
    </row>
    <row r="9" spans="1:19" x14ac:dyDescent="0.3">
      <c r="A9">
        <v>44</v>
      </c>
      <c r="B9" t="s">
        <v>203</v>
      </c>
      <c r="C9" t="s">
        <v>204</v>
      </c>
      <c r="D9" t="s">
        <v>205</v>
      </c>
      <c r="E9" t="s">
        <v>109</v>
      </c>
      <c r="F9" t="s">
        <v>68</v>
      </c>
      <c r="G9" t="s">
        <v>69</v>
      </c>
      <c r="H9" t="s">
        <v>25</v>
      </c>
      <c r="I9" t="s">
        <v>73</v>
      </c>
      <c r="J9" t="s">
        <v>47</v>
      </c>
      <c r="K9">
        <v>11</v>
      </c>
      <c r="L9">
        <v>12000</v>
      </c>
      <c r="M9">
        <v>10</v>
      </c>
      <c r="N9">
        <v>118800</v>
      </c>
      <c r="O9">
        <v>88000</v>
      </c>
      <c r="P9">
        <v>30800</v>
      </c>
      <c r="Q9" t="s">
        <v>48</v>
      </c>
      <c r="R9" t="s">
        <v>49</v>
      </c>
      <c r="S9" t="s">
        <v>30</v>
      </c>
    </row>
    <row r="10" spans="1:19" x14ac:dyDescent="0.3">
      <c r="A10">
        <v>60</v>
      </c>
      <c r="B10" t="s">
        <v>248</v>
      </c>
      <c r="C10" t="s">
        <v>249</v>
      </c>
      <c r="D10" t="s">
        <v>250</v>
      </c>
      <c r="E10" t="s">
        <v>67</v>
      </c>
      <c r="F10" t="s">
        <v>68</v>
      </c>
      <c r="G10" t="s">
        <v>81</v>
      </c>
      <c r="H10" t="s">
        <v>25</v>
      </c>
      <c r="I10" t="s">
        <v>73</v>
      </c>
      <c r="J10" t="s">
        <v>47</v>
      </c>
      <c r="K10">
        <v>6</v>
      </c>
      <c r="L10">
        <v>12000</v>
      </c>
      <c r="M10">
        <v>10</v>
      </c>
      <c r="N10">
        <v>64800</v>
      </c>
      <c r="O10">
        <v>48000</v>
      </c>
      <c r="P10">
        <v>16800</v>
      </c>
      <c r="Q10" t="s">
        <v>83</v>
      </c>
      <c r="R10" t="s">
        <v>84</v>
      </c>
      <c r="S10" t="s">
        <v>59</v>
      </c>
    </row>
    <row r="11" spans="1:19" x14ac:dyDescent="0.3">
      <c r="A11">
        <v>88</v>
      </c>
      <c r="B11" t="s">
        <v>92</v>
      </c>
      <c r="C11" t="s">
        <v>326</v>
      </c>
      <c r="D11" t="s">
        <v>327</v>
      </c>
      <c r="E11" t="s">
        <v>34</v>
      </c>
      <c r="F11" t="s">
        <v>23</v>
      </c>
      <c r="G11" t="s">
        <v>24</v>
      </c>
      <c r="H11" t="s">
        <v>25</v>
      </c>
      <c r="I11" t="s">
        <v>73</v>
      </c>
      <c r="J11" t="s">
        <v>47</v>
      </c>
      <c r="K11">
        <v>1</v>
      </c>
      <c r="L11">
        <v>12000</v>
      </c>
      <c r="M11">
        <v>5</v>
      </c>
      <c r="N11">
        <v>11400</v>
      </c>
      <c r="O11">
        <v>8000</v>
      </c>
      <c r="P11">
        <v>3400</v>
      </c>
      <c r="Q11" t="s">
        <v>83</v>
      </c>
      <c r="R11" t="s">
        <v>29</v>
      </c>
      <c r="S11" t="s">
        <v>30</v>
      </c>
    </row>
    <row r="12" spans="1:19" x14ac:dyDescent="0.3">
      <c r="A12">
        <v>97</v>
      </c>
      <c r="B12" t="s">
        <v>348</v>
      </c>
      <c r="C12" t="s">
        <v>349</v>
      </c>
      <c r="D12" t="s">
        <v>350</v>
      </c>
      <c r="E12" t="s">
        <v>91</v>
      </c>
      <c r="F12" t="s">
        <v>35</v>
      </c>
      <c r="G12" t="s">
        <v>36</v>
      </c>
      <c r="H12" t="s">
        <v>37</v>
      </c>
      <c r="I12" t="s">
        <v>73</v>
      </c>
      <c r="J12" t="s">
        <v>47</v>
      </c>
      <c r="K12">
        <v>6</v>
      </c>
      <c r="L12">
        <v>12000</v>
      </c>
      <c r="M12">
        <v>5</v>
      </c>
      <c r="N12">
        <v>68400</v>
      </c>
      <c r="O12">
        <v>48000</v>
      </c>
      <c r="P12">
        <v>20400</v>
      </c>
      <c r="Q12" t="s">
        <v>58</v>
      </c>
      <c r="R12" t="s">
        <v>84</v>
      </c>
      <c r="S12" t="s">
        <v>30</v>
      </c>
    </row>
    <row r="13" spans="1:19" x14ac:dyDescent="0.3">
      <c r="A13">
        <v>113</v>
      </c>
      <c r="B13" t="s">
        <v>391</v>
      </c>
      <c r="C13" t="s">
        <v>392</v>
      </c>
      <c r="D13" t="s">
        <v>393</v>
      </c>
      <c r="E13" t="s">
        <v>124</v>
      </c>
      <c r="F13" t="s">
        <v>68</v>
      </c>
      <c r="G13" t="s">
        <v>69</v>
      </c>
      <c r="H13" t="s">
        <v>25</v>
      </c>
      <c r="I13" t="s">
        <v>73</v>
      </c>
      <c r="J13" t="s">
        <v>47</v>
      </c>
      <c r="K13">
        <v>12</v>
      </c>
      <c r="L13">
        <v>12000</v>
      </c>
      <c r="M13">
        <v>15</v>
      </c>
      <c r="N13">
        <v>122400</v>
      </c>
      <c r="O13">
        <v>96000</v>
      </c>
      <c r="P13">
        <v>26400</v>
      </c>
      <c r="Q13" t="s">
        <v>58</v>
      </c>
      <c r="R13" t="s">
        <v>29</v>
      </c>
      <c r="S13" t="s">
        <v>59</v>
      </c>
    </row>
    <row r="14" spans="1:19" x14ac:dyDescent="0.3">
      <c r="A14">
        <v>116</v>
      </c>
      <c r="B14" t="s">
        <v>399</v>
      </c>
      <c r="C14" t="s">
        <v>400</v>
      </c>
      <c r="D14" t="s">
        <v>401</v>
      </c>
      <c r="E14" t="s">
        <v>124</v>
      </c>
      <c r="F14" t="s">
        <v>54</v>
      </c>
      <c r="G14" t="s">
        <v>55</v>
      </c>
      <c r="H14" t="s">
        <v>56</v>
      </c>
      <c r="I14" t="s">
        <v>73</v>
      </c>
      <c r="J14" t="s">
        <v>47</v>
      </c>
      <c r="K14">
        <v>1</v>
      </c>
      <c r="L14">
        <v>12000</v>
      </c>
      <c r="M14">
        <v>15</v>
      </c>
      <c r="N14">
        <v>10200</v>
      </c>
      <c r="O14">
        <v>8000</v>
      </c>
      <c r="P14">
        <v>2200</v>
      </c>
      <c r="Q14" t="s">
        <v>48</v>
      </c>
      <c r="R14" t="s">
        <v>29</v>
      </c>
      <c r="S14" t="s">
        <v>41</v>
      </c>
    </row>
    <row r="15" spans="1:19" x14ac:dyDescent="0.3">
      <c r="A15">
        <v>122</v>
      </c>
      <c r="B15" t="s">
        <v>414</v>
      </c>
      <c r="C15" t="s">
        <v>415</v>
      </c>
      <c r="D15" t="s">
        <v>416</v>
      </c>
      <c r="E15" t="s">
        <v>99</v>
      </c>
      <c r="F15" t="s">
        <v>68</v>
      </c>
      <c r="G15" t="s">
        <v>81</v>
      </c>
      <c r="H15" t="s">
        <v>25</v>
      </c>
      <c r="I15" t="s">
        <v>73</v>
      </c>
      <c r="J15" t="s">
        <v>47</v>
      </c>
      <c r="K15">
        <v>8</v>
      </c>
      <c r="L15">
        <v>12000</v>
      </c>
      <c r="M15">
        <v>10</v>
      </c>
      <c r="N15">
        <v>86400</v>
      </c>
      <c r="O15">
        <v>64000</v>
      </c>
      <c r="P15">
        <v>22400</v>
      </c>
      <c r="Q15" t="s">
        <v>40</v>
      </c>
      <c r="R15" t="s">
        <v>29</v>
      </c>
      <c r="S15" t="s">
        <v>59</v>
      </c>
    </row>
    <row r="16" spans="1:19" x14ac:dyDescent="0.3">
      <c r="A16">
        <v>145</v>
      </c>
      <c r="B16" t="s">
        <v>473</v>
      </c>
      <c r="C16" t="s">
        <v>474</v>
      </c>
      <c r="D16" t="s">
        <v>475</v>
      </c>
      <c r="E16" t="s">
        <v>124</v>
      </c>
      <c r="F16" t="s">
        <v>68</v>
      </c>
      <c r="G16" t="s">
        <v>81</v>
      </c>
      <c r="H16" t="s">
        <v>25</v>
      </c>
      <c r="I16" t="s">
        <v>73</v>
      </c>
      <c r="J16" t="s">
        <v>47</v>
      </c>
      <c r="K16">
        <v>5</v>
      </c>
      <c r="L16">
        <v>12000</v>
      </c>
      <c r="M16">
        <v>10</v>
      </c>
      <c r="N16">
        <v>54000</v>
      </c>
      <c r="O16">
        <v>40000</v>
      </c>
      <c r="P16">
        <v>14000</v>
      </c>
      <c r="Q16" t="s">
        <v>40</v>
      </c>
      <c r="R16" t="s">
        <v>84</v>
      </c>
      <c r="S16" t="s">
        <v>59</v>
      </c>
    </row>
    <row r="17" spans="1:19" x14ac:dyDescent="0.3">
      <c r="A17">
        <v>146</v>
      </c>
      <c r="B17" t="s">
        <v>476</v>
      </c>
      <c r="C17" t="s">
        <v>477</v>
      </c>
      <c r="D17" t="s">
        <v>478</v>
      </c>
      <c r="E17" t="s">
        <v>109</v>
      </c>
      <c r="F17" t="s">
        <v>23</v>
      </c>
      <c r="G17" t="s">
        <v>173</v>
      </c>
      <c r="H17" t="s">
        <v>25</v>
      </c>
      <c r="I17" t="s">
        <v>73</v>
      </c>
      <c r="J17" t="s">
        <v>47</v>
      </c>
      <c r="K17">
        <v>11</v>
      </c>
      <c r="L17">
        <v>12000</v>
      </c>
      <c r="M17">
        <v>15</v>
      </c>
      <c r="N17">
        <v>112200</v>
      </c>
      <c r="O17">
        <v>88000</v>
      </c>
      <c r="P17">
        <v>24200</v>
      </c>
      <c r="Q17" t="s">
        <v>48</v>
      </c>
      <c r="R17" t="s">
        <v>84</v>
      </c>
      <c r="S17" t="s">
        <v>59</v>
      </c>
    </row>
    <row r="18" spans="1:19" x14ac:dyDescent="0.3">
      <c r="A18">
        <v>155</v>
      </c>
      <c r="B18" t="s">
        <v>402</v>
      </c>
      <c r="C18" t="s">
        <v>499</v>
      </c>
      <c r="D18" t="s">
        <v>500</v>
      </c>
      <c r="E18" t="s">
        <v>22</v>
      </c>
      <c r="F18" t="s">
        <v>23</v>
      </c>
      <c r="G18" t="s">
        <v>173</v>
      </c>
      <c r="H18" t="s">
        <v>25</v>
      </c>
      <c r="I18" t="s">
        <v>73</v>
      </c>
      <c r="J18" t="s">
        <v>47</v>
      </c>
      <c r="K18">
        <v>9</v>
      </c>
      <c r="L18">
        <v>12000</v>
      </c>
      <c r="M18">
        <v>5</v>
      </c>
      <c r="N18">
        <v>102600</v>
      </c>
      <c r="O18">
        <v>72000</v>
      </c>
      <c r="P18">
        <v>30600</v>
      </c>
      <c r="Q18" t="s">
        <v>40</v>
      </c>
      <c r="R18" t="s">
        <v>84</v>
      </c>
      <c r="S18" t="s">
        <v>59</v>
      </c>
    </row>
    <row r="19" spans="1:19" x14ac:dyDescent="0.3">
      <c r="A19">
        <v>159</v>
      </c>
      <c r="B19" t="s">
        <v>479</v>
      </c>
      <c r="C19" t="s">
        <v>509</v>
      </c>
      <c r="D19" t="s">
        <v>510</v>
      </c>
      <c r="E19" t="s">
        <v>109</v>
      </c>
      <c r="F19" t="s">
        <v>167</v>
      </c>
      <c r="G19" t="s">
        <v>168</v>
      </c>
      <c r="H19" t="s">
        <v>169</v>
      </c>
      <c r="I19" t="s">
        <v>73</v>
      </c>
      <c r="J19" t="s">
        <v>47</v>
      </c>
      <c r="K19">
        <v>7</v>
      </c>
      <c r="L19">
        <v>12000</v>
      </c>
      <c r="M19">
        <v>5</v>
      </c>
      <c r="N19">
        <v>79800</v>
      </c>
      <c r="O19">
        <v>56000</v>
      </c>
      <c r="P19">
        <v>23800</v>
      </c>
      <c r="Q19" t="s">
        <v>83</v>
      </c>
      <c r="R19" t="s">
        <v>29</v>
      </c>
      <c r="S19" t="s">
        <v>59</v>
      </c>
    </row>
    <row r="20" spans="1:19" x14ac:dyDescent="0.3">
      <c r="A20">
        <v>162</v>
      </c>
      <c r="B20" t="s">
        <v>517</v>
      </c>
      <c r="C20" t="s">
        <v>518</v>
      </c>
      <c r="D20" t="s">
        <v>519</v>
      </c>
      <c r="E20" t="s">
        <v>91</v>
      </c>
      <c r="F20" t="s">
        <v>35</v>
      </c>
      <c r="G20" t="s">
        <v>36</v>
      </c>
      <c r="H20" t="s">
        <v>37</v>
      </c>
      <c r="I20" t="s">
        <v>73</v>
      </c>
      <c r="J20" t="s">
        <v>47</v>
      </c>
      <c r="K20">
        <v>1</v>
      </c>
      <c r="L20">
        <v>12000</v>
      </c>
      <c r="M20">
        <v>0</v>
      </c>
      <c r="N20">
        <v>12000</v>
      </c>
      <c r="O20">
        <v>8000</v>
      </c>
      <c r="P20">
        <v>4000</v>
      </c>
      <c r="Q20" t="s">
        <v>28</v>
      </c>
      <c r="R20" t="s">
        <v>29</v>
      </c>
      <c r="S20" t="s">
        <v>30</v>
      </c>
    </row>
    <row r="21" spans="1:19" x14ac:dyDescent="0.3">
      <c r="A21">
        <v>166</v>
      </c>
      <c r="B21" t="s">
        <v>391</v>
      </c>
      <c r="C21" t="s">
        <v>528</v>
      </c>
      <c r="D21" t="s">
        <v>529</v>
      </c>
      <c r="E21" t="s">
        <v>53</v>
      </c>
      <c r="F21" t="s">
        <v>23</v>
      </c>
      <c r="G21" t="s">
        <v>45</v>
      </c>
      <c r="H21" t="s">
        <v>25</v>
      </c>
      <c r="I21" t="s">
        <v>73</v>
      </c>
      <c r="J21" t="s">
        <v>47</v>
      </c>
      <c r="K21">
        <v>6</v>
      </c>
      <c r="L21">
        <v>12000</v>
      </c>
      <c r="M21">
        <v>0</v>
      </c>
      <c r="N21">
        <v>72000</v>
      </c>
      <c r="O21">
        <v>48000</v>
      </c>
      <c r="P21">
        <v>24000</v>
      </c>
      <c r="Q21" t="s">
        <v>83</v>
      </c>
      <c r="R21" t="s">
        <v>29</v>
      </c>
      <c r="S21" t="s">
        <v>41</v>
      </c>
    </row>
    <row r="22" spans="1:19" x14ac:dyDescent="0.3">
      <c r="A22">
        <v>185</v>
      </c>
      <c r="B22" t="s">
        <v>307</v>
      </c>
      <c r="C22" t="s">
        <v>576</v>
      </c>
      <c r="D22" t="s">
        <v>577</v>
      </c>
      <c r="E22" t="s">
        <v>53</v>
      </c>
      <c r="F22" t="s">
        <v>54</v>
      </c>
      <c r="G22" t="s">
        <v>55</v>
      </c>
      <c r="H22" t="s">
        <v>56</v>
      </c>
      <c r="I22" t="s">
        <v>73</v>
      </c>
      <c r="J22" t="s">
        <v>47</v>
      </c>
      <c r="K22">
        <v>2</v>
      </c>
      <c r="L22">
        <v>12000</v>
      </c>
      <c r="M22">
        <v>0</v>
      </c>
      <c r="N22">
        <v>24000</v>
      </c>
      <c r="O22">
        <v>16000</v>
      </c>
      <c r="P22">
        <v>8000</v>
      </c>
      <c r="Q22" t="s">
        <v>28</v>
      </c>
      <c r="R22" t="s">
        <v>84</v>
      </c>
      <c r="S22" t="s">
        <v>41</v>
      </c>
    </row>
    <row r="23" spans="1:19" x14ac:dyDescent="0.3">
      <c r="A23">
        <v>188</v>
      </c>
      <c r="B23" t="s">
        <v>583</v>
      </c>
      <c r="C23" t="s">
        <v>584</v>
      </c>
      <c r="D23" t="s">
        <v>585</v>
      </c>
      <c r="E23" t="s">
        <v>124</v>
      </c>
      <c r="F23" t="s">
        <v>35</v>
      </c>
      <c r="G23" t="s">
        <v>36</v>
      </c>
      <c r="H23" t="s">
        <v>37</v>
      </c>
      <c r="I23" t="s">
        <v>73</v>
      </c>
      <c r="J23" t="s">
        <v>47</v>
      </c>
      <c r="K23">
        <v>8</v>
      </c>
      <c r="L23">
        <v>12000</v>
      </c>
      <c r="M23">
        <v>10</v>
      </c>
      <c r="N23">
        <v>86400</v>
      </c>
      <c r="O23">
        <v>64000</v>
      </c>
      <c r="P23">
        <v>22400</v>
      </c>
      <c r="Q23" t="s">
        <v>40</v>
      </c>
      <c r="R23" t="s">
        <v>29</v>
      </c>
      <c r="S23" t="s">
        <v>59</v>
      </c>
    </row>
    <row r="24" spans="1:19" x14ac:dyDescent="0.3">
      <c r="A24">
        <v>199</v>
      </c>
      <c r="B24" t="s">
        <v>608</v>
      </c>
      <c r="C24" t="s">
        <v>609</v>
      </c>
      <c r="D24" t="s">
        <v>610</v>
      </c>
      <c r="E24" t="s">
        <v>91</v>
      </c>
      <c r="F24" t="s">
        <v>54</v>
      </c>
      <c r="G24" t="s">
        <v>55</v>
      </c>
      <c r="H24" t="s">
        <v>56</v>
      </c>
      <c r="I24" t="s">
        <v>73</v>
      </c>
      <c r="J24" t="s">
        <v>47</v>
      </c>
      <c r="K24">
        <v>8</v>
      </c>
      <c r="L24">
        <v>12000</v>
      </c>
      <c r="M24">
        <v>10</v>
      </c>
      <c r="N24">
        <v>86400</v>
      </c>
      <c r="O24">
        <v>64000</v>
      </c>
      <c r="P24">
        <v>22400</v>
      </c>
      <c r="Q24" t="s">
        <v>83</v>
      </c>
      <c r="R24" t="s">
        <v>29</v>
      </c>
      <c r="S24" t="s">
        <v>59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2"/>
  <sheetViews>
    <sheetView zoomScale="94" zoomScaleNormal="94" workbookViewId="0">
      <pane ySplit="1" topLeftCell="A63" activePane="bottomLeft" state="frozen"/>
      <selection pane="bottomLeft" activeCell="A47" sqref="A47"/>
    </sheetView>
  </sheetViews>
  <sheetFormatPr defaultRowHeight="14.4" x14ac:dyDescent="0.3"/>
  <cols>
    <col min="1" max="1" width="14.44140625" bestFit="1" customWidth="1"/>
    <col min="2" max="3" width="16.77734375" bestFit="1" customWidth="1"/>
    <col min="4" max="5" width="8" bestFit="1" customWidth="1"/>
    <col min="6" max="6" width="12.88671875" bestFit="1" customWidth="1"/>
    <col min="7" max="7" width="20.5546875" bestFit="1" customWidth="1"/>
    <col min="8" max="8" width="8.109375" bestFit="1" customWidth="1"/>
    <col min="9" max="10" width="8" bestFit="1" customWidth="1"/>
    <col min="11" max="11" width="9.44140625" bestFit="1" customWidth="1"/>
    <col min="12" max="13" width="8" bestFit="1" customWidth="1"/>
    <col min="14" max="14" width="10.77734375" bestFit="1" customWidth="1"/>
  </cols>
  <sheetData>
    <row r="1" spans="1:2" x14ac:dyDescent="0.3">
      <c r="A1" s="1"/>
      <c r="B1" s="1"/>
    </row>
    <row r="3" spans="1:2" x14ac:dyDescent="0.3">
      <c r="A3" t="s">
        <v>613</v>
      </c>
    </row>
    <row r="4" spans="1:2" x14ac:dyDescent="0.3">
      <c r="A4" s="5">
        <v>1172695</v>
      </c>
    </row>
    <row r="7" spans="1:2" x14ac:dyDescent="0.3">
      <c r="A7" t="s">
        <v>614</v>
      </c>
    </row>
    <row r="8" spans="1:2" x14ac:dyDescent="0.3">
      <c r="A8" s="10">
        <v>47</v>
      </c>
    </row>
    <row r="11" spans="1:2" x14ac:dyDescent="0.3">
      <c r="A11" t="s">
        <v>616</v>
      </c>
    </row>
    <row r="12" spans="1:2" x14ac:dyDescent="0.3">
      <c r="A12" s="10">
        <v>7.3404255319148932</v>
      </c>
    </row>
    <row r="15" spans="1:2" x14ac:dyDescent="0.3">
      <c r="A15" t="s">
        <v>617</v>
      </c>
    </row>
    <row r="16" spans="1:2" x14ac:dyDescent="0.3">
      <c r="A16" s="5">
        <v>4450145</v>
      </c>
    </row>
    <row r="19" spans="1:2" x14ac:dyDescent="0.3">
      <c r="A19" t="s">
        <v>618</v>
      </c>
    </row>
    <row r="20" spans="1:2" x14ac:dyDescent="0.3">
      <c r="A20" s="5">
        <v>3277450</v>
      </c>
    </row>
    <row r="24" spans="1:2" x14ac:dyDescent="0.3">
      <c r="A24" s="6" t="s">
        <v>619</v>
      </c>
      <c r="B24" t="s">
        <v>613</v>
      </c>
    </row>
    <row r="25" spans="1:2" x14ac:dyDescent="0.3">
      <c r="A25" s="7" t="s">
        <v>56</v>
      </c>
      <c r="B25" s="10">
        <v>1172695</v>
      </c>
    </row>
    <row r="26" spans="1:2" x14ac:dyDescent="0.3">
      <c r="A26" s="8" t="s">
        <v>39</v>
      </c>
      <c r="B26" s="10">
        <v>120095</v>
      </c>
    </row>
    <row r="27" spans="1:2" x14ac:dyDescent="0.3">
      <c r="A27" s="8" t="s">
        <v>27</v>
      </c>
      <c r="B27" s="10">
        <v>844200</v>
      </c>
    </row>
    <row r="28" spans="1:2" x14ac:dyDescent="0.3">
      <c r="A28" s="8" t="s">
        <v>47</v>
      </c>
      <c r="B28" s="10">
        <v>208400</v>
      </c>
    </row>
    <row r="29" spans="1:2" x14ac:dyDescent="0.3">
      <c r="A29" s="7" t="s">
        <v>620</v>
      </c>
      <c r="B29" s="10">
        <v>1172695</v>
      </c>
    </row>
    <row r="49" spans="1:3" x14ac:dyDescent="0.3">
      <c r="A49" s="6" t="s">
        <v>619</v>
      </c>
      <c r="B49" t="s">
        <v>618</v>
      </c>
      <c r="C49" t="s">
        <v>615</v>
      </c>
    </row>
    <row r="50" spans="1:3" x14ac:dyDescent="0.3">
      <c r="A50" s="7" t="s">
        <v>157</v>
      </c>
      <c r="B50" s="10">
        <v>180000</v>
      </c>
      <c r="C50" s="10">
        <v>10</v>
      </c>
    </row>
    <row r="51" spans="1:3" x14ac:dyDescent="0.3">
      <c r="A51" s="7" t="s">
        <v>73</v>
      </c>
      <c r="B51" s="10">
        <v>176000</v>
      </c>
      <c r="C51" s="10">
        <v>40</v>
      </c>
    </row>
    <row r="52" spans="1:3" x14ac:dyDescent="0.3">
      <c r="A52" s="7" t="s">
        <v>100</v>
      </c>
      <c r="B52" s="10">
        <v>41800</v>
      </c>
      <c r="C52" s="10">
        <v>25</v>
      </c>
    </row>
    <row r="53" spans="1:3" x14ac:dyDescent="0.3">
      <c r="A53" s="7" t="s">
        <v>63</v>
      </c>
      <c r="B53" s="10">
        <v>32200</v>
      </c>
      <c r="C53" s="10">
        <v>35</v>
      </c>
    </row>
    <row r="54" spans="1:3" x14ac:dyDescent="0.3">
      <c r="A54" s="7" t="s">
        <v>26</v>
      </c>
      <c r="B54" s="10">
        <v>1330000</v>
      </c>
      <c r="C54" s="10">
        <v>40</v>
      </c>
    </row>
    <row r="55" spans="1:3" x14ac:dyDescent="0.3">
      <c r="A55" s="7" t="s">
        <v>77</v>
      </c>
      <c r="B55" s="10">
        <v>325500</v>
      </c>
      <c r="C55" s="10">
        <v>35</v>
      </c>
    </row>
    <row r="56" spans="1:3" x14ac:dyDescent="0.3">
      <c r="A56" s="7" t="s">
        <v>144</v>
      </c>
      <c r="B56" s="10">
        <v>85500</v>
      </c>
      <c r="C56" s="10">
        <v>10</v>
      </c>
    </row>
    <row r="57" spans="1:3" x14ac:dyDescent="0.3">
      <c r="A57" s="7" t="s">
        <v>95</v>
      </c>
      <c r="B57" s="10">
        <v>24050</v>
      </c>
      <c r="C57" s="10">
        <v>20</v>
      </c>
    </row>
    <row r="58" spans="1:3" x14ac:dyDescent="0.3">
      <c r="A58" s="7" t="s">
        <v>46</v>
      </c>
      <c r="B58" s="10">
        <v>134400</v>
      </c>
      <c r="C58" s="10">
        <v>20</v>
      </c>
    </row>
    <row r="59" spans="1:3" x14ac:dyDescent="0.3">
      <c r="A59" s="7" t="s">
        <v>57</v>
      </c>
      <c r="B59" s="10">
        <v>450000</v>
      </c>
      <c r="C59" s="10">
        <v>60</v>
      </c>
    </row>
    <row r="60" spans="1:3" x14ac:dyDescent="0.3">
      <c r="A60" s="7" t="s">
        <v>82</v>
      </c>
      <c r="B60" s="10">
        <v>420000</v>
      </c>
      <c r="C60" s="10">
        <v>15</v>
      </c>
    </row>
    <row r="61" spans="1:3" x14ac:dyDescent="0.3">
      <c r="A61" s="7" t="s">
        <v>38</v>
      </c>
      <c r="B61" s="10">
        <v>78000</v>
      </c>
      <c r="C61" s="10">
        <v>35</v>
      </c>
    </row>
    <row r="62" spans="1:3" x14ac:dyDescent="0.3">
      <c r="A62" s="7" t="s">
        <v>620</v>
      </c>
      <c r="B62" s="10">
        <v>3277450</v>
      </c>
      <c r="C62" s="10">
        <v>345</v>
      </c>
    </row>
    <row r="68" spans="1:2" x14ac:dyDescent="0.3">
      <c r="A68" s="6" t="s">
        <v>619</v>
      </c>
      <c r="B68" t="s">
        <v>618</v>
      </c>
    </row>
    <row r="69" spans="1:2" x14ac:dyDescent="0.3">
      <c r="A69" s="7" t="s">
        <v>157</v>
      </c>
      <c r="B69" s="10">
        <v>180000</v>
      </c>
    </row>
    <row r="70" spans="1:2" x14ac:dyDescent="0.3">
      <c r="A70" s="7" t="s">
        <v>73</v>
      </c>
      <c r="B70" s="10">
        <v>176000</v>
      </c>
    </row>
    <row r="71" spans="1:2" x14ac:dyDescent="0.3">
      <c r="A71" s="7" t="s">
        <v>100</v>
      </c>
      <c r="B71" s="10">
        <v>41800</v>
      </c>
    </row>
    <row r="72" spans="1:2" x14ac:dyDescent="0.3">
      <c r="A72" s="7" t="s">
        <v>63</v>
      </c>
      <c r="B72" s="10">
        <v>32200</v>
      </c>
    </row>
    <row r="73" spans="1:2" x14ac:dyDescent="0.3">
      <c r="A73" s="7" t="s">
        <v>26</v>
      </c>
      <c r="B73" s="10">
        <v>1330000</v>
      </c>
    </row>
    <row r="74" spans="1:2" x14ac:dyDescent="0.3">
      <c r="A74" s="7" t="s">
        <v>77</v>
      </c>
      <c r="B74" s="10">
        <v>325500</v>
      </c>
    </row>
    <row r="75" spans="1:2" x14ac:dyDescent="0.3">
      <c r="A75" s="7" t="s">
        <v>144</v>
      </c>
      <c r="B75" s="10">
        <v>85500</v>
      </c>
    </row>
    <row r="76" spans="1:2" x14ac:dyDescent="0.3">
      <c r="A76" s="7" t="s">
        <v>95</v>
      </c>
      <c r="B76" s="10">
        <v>24050</v>
      </c>
    </row>
    <row r="77" spans="1:2" x14ac:dyDescent="0.3">
      <c r="A77" s="7" t="s">
        <v>46</v>
      </c>
      <c r="B77" s="10">
        <v>134400</v>
      </c>
    </row>
    <row r="78" spans="1:2" x14ac:dyDescent="0.3">
      <c r="A78" s="7" t="s">
        <v>57</v>
      </c>
      <c r="B78" s="10">
        <v>450000</v>
      </c>
    </row>
    <row r="79" spans="1:2" x14ac:dyDescent="0.3">
      <c r="A79" s="7" t="s">
        <v>82</v>
      </c>
      <c r="B79" s="10">
        <v>420000</v>
      </c>
    </row>
    <row r="80" spans="1:2" x14ac:dyDescent="0.3">
      <c r="A80" s="7" t="s">
        <v>38</v>
      </c>
      <c r="B80" s="10">
        <v>78000</v>
      </c>
    </row>
    <row r="81" spans="1:2" x14ac:dyDescent="0.3">
      <c r="A81" s="7" t="s">
        <v>620</v>
      </c>
      <c r="B81" s="10">
        <v>3277450</v>
      </c>
    </row>
    <row r="87" spans="1:2" x14ac:dyDescent="0.3">
      <c r="A87" s="6" t="s">
        <v>619</v>
      </c>
      <c r="B87" t="s">
        <v>615</v>
      </c>
    </row>
    <row r="88" spans="1:2" x14ac:dyDescent="0.3">
      <c r="A88" s="7" t="s">
        <v>100</v>
      </c>
      <c r="B88" s="10"/>
    </row>
    <row r="89" spans="1:2" x14ac:dyDescent="0.3">
      <c r="A89" s="8" t="s">
        <v>39</v>
      </c>
      <c r="B89" s="10">
        <v>25</v>
      </c>
    </row>
    <row r="90" spans="1:2" x14ac:dyDescent="0.3">
      <c r="A90" s="7" t="s">
        <v>63</v>
      </c>
      <c r="B90" s="10"/>
    </row>
    <row r="91" spans="1:2" x14ac:dyDescent="0.3">
      <c r="A91" s="8" t="s">
        <v>39</v>
      </c>
      <c r="B91" s="10">
        <v>35</v>
      </c>
    </row>
    <row r="92" spans="1:2" x14ac:dyDescent="0.3">
      <c r="A92" s="7" t="s">
        <v>95</v>
      </c>
      <c r="B92" s="10"/>
    </row>
    <row r="93" spans="1:2" x14ac:dyDescent="0.3">
      <c r="A93" s="8" t="s">
        <v>39</v>
      </c>
      <c r="B93" s="10">
        <v>20</v>
      </c>
    </row>
    <row r="94" spans="1:2" x14ac:dyDescent="0.3">
      <c r="A94" s="7" t="s">
        <v>38</v>
      </c>
      <c r="B94" s="10"/>
    </row>
    <row r="95" spans="1:2" x14ac:dyDescent="0.3">
      <c r="A95" s="8" t="s">
        <v>39</v>
      </c>
      <c r="B95" s="10">
        <v>35</v>
      </c>
    </row>
    <row r="96" spans="1:2" x14ac:dyDescent="0.3">
      <c r="A96" s="7" t="s">
        <v>620</v>
      </c>
      <c r="B96" s="10">
        <v>115</v>
      </c>
    </row>
    <row r="104" spans="1:2" x14ac:dyDescent="0.3">
      <c r="A104" s="6" t="s">
        <v>619</v>
      </c>
      <c r="B104" t="s">
        <v>613</v>
      </c>
    </row>
    <row r="105" spans="1:2" x14ac:dyDescent="0.3">
      <c r="A105" s="7" t="s">
        <v>125</v>
      </c>
      <c r="B105" s="10"/>
    </row>
    <row r="106" spans="1:2" x14ac:dyDescent="0.3">
      <c r="A106" s="8" t="s">
        <v>126</v>
      </c>
      <c r="B106" s="10">
        <v>514580</v>
      </c>
    </row>
    <row r="107" spans="1:2" x14ac:dyDescent="0.3">
      <c r="A107" s="7" t="s">
        <v>104</v>
      </c>
      <c r="B107" s="10"/>
    </row>
    <row r="108" spans="1:2" x14ac:dyDescent="0.3">
      <c r="A108" s="8" t="s">
        <v>105</v>
      </c>
      <c r="B108" s="10">
        <v>316540</v>
      </c>
    </row>
    <row r="109" spans="1:2" x14ac:dyDescent="0.3">
      <c r="A109" s="7" t="s">
        <v>54</v>
      </c>
      <c r="B109" s="10"/>
    </row>
    <row r="110" spans="1:2" x14ac:dyDescent="0.3">
      <c r="A110" s="8" t="s">
        <v>55</v>
      </c>
      <c r="B110" s="10">
        <v>341575</v>
      </c>
    </row>
    <row r="111" spans="1:2" x14ac:dyDescent="0.3">
      <c r="A111" s="7" t="s">
        <v>620</v>
      </c>
      <c r="B111" s="10">
        <v>1172695</v>
      </c>
    </row>
    <row r="129" spans="1:7" x14ac:dyDescent="0.3">
      <c r="A129" s="6" t="s">
        <v>619</v>
      </c>
      <c r="B129" t="s">
        <v>617</v>
      </c>
    </row>
    <row r="130" spans="1:7" x14ac:dyDescent="0.3">
      <c r="A130" s="7" t="s">
        <v>402</v>
      </c>
      <c r="B130" s="10">
        <v>114000</v>
      </c>
    </row>
    <row r="131" spans="1:7" x14ac:dyDescent="0.3">
      <c r="A131" s="7" t="s">
        <v>151</v>
      </c>
      <c r="B131" s="10">
        <v>114000</v>
      </c>
    </row>
    <row r="132" spans="1:7" x14ac:dyDescent="0.3">
      <c r="A132" s="7" t="s">
        <v>342</v>
      </c>
      <c r="B132" s="10">
        <v>8640</v>
      </c>
    </row>
    <row r="133" spans="1:7" x14ac:dyDescent="0.3">
      <c r="A133" s="7" t="s">
        <v>129</v>
      </c>
      <c r="B133" s="10">
        <v>8075</v>
      </c>
    </row>
    <row r="134" spans="1:7" x14ac:dyDescent="0.3">
      <c r="A134" s="7" t="s">
        <v>101</v>
      </c>
      <c r="B134" s="10">
        <v>83475</v>
      </c>
    </row>
    <row r="135" spans="1:7" x14ac:dyDescent="0.3">
      <c r="A135" s="7" t="s">
        <v>332</v>
      </c>
      <c r="B135" s="10">
        <v>26600</v>
      </c>
    </row>
    <row r="136" spans="1:7" x14ac:dyDescent="0.3">
      <c r="A136" s="7" t="s">
        <v>225</v>
      </c>
      <c r="B136" s="10">
        <v>102000</v>
      </c>
    </row>
    <row r="137" spans="1:7" x14ac:dyDescent="0.3">
      <c r="A137" s="7" t="s">
        <v>121</v>
      </c>
      <c r="B137" s="10">
        <v>270000</v>
      </c>
    </row>
    <row r="138" spans="1:7" x14ac:dyDescent="0.3">
      <c r="A138" s="7" t="s">
        <v>197</v>
      </c>
      <c r="B138" s="10">
        <v>386100</v>
      </c>
    </row>
    <row r="139" spans="1:7" x14ac:dyDescent="0.3">
      <c r="A139" s="7" t="s">
        <v>424</v>
      </c>
      <c r="B139" s="10">
        <v>107100</v>
      </c>
    </row>
    <row r="140" spans="1:7" x14ac:dyDescent="0.3">
      <c r="A140" s="7" t="s">
        <v>533</v>
      </c>
      <c r="B140" s="10">
        <v>158400</v>
      </c>
    </row>
    <row r="141" spans="1:7" x14ac:dyDescent="0.3">
      <c r="A141" s="7" t="s">
        <v>262</v>
      </c>
      <c r="B141" s="10">
        <v>39900</v>
      </c>
    </row>
    <row r="142" spans="1:7" x14ac:dyDescent="0.3">
      <c r="A142" s="7" t="s">
        <v>546</v>
      </c>
      <c r="B142" s="10">
        <v>17100</v>
      </c>
    </row>
    <row r="143" spans="1:7" x14ac:dyDescent="0.3">
      <c r="A143" s="7" t="s">
        <v>256</v>
      </c>
      <c r="B143" s="10">
        <v>361000</v>
      </c>
    </row>
    <row r="144" spans="1:7" x14ac:dyDescent="0.3">
      <c r="A144" s="7" t="s">
        <v>339</v>
      </c>
      <c r="B144" s="10">
        <v>20250</v>
      </c>
      <c r="F144" s="6" t="s">
        <v>619</v>
      </c>
      <c r="G144" t="s">
        <v>621</v>
      </c>
    </row>
    <row r="145" spans="1:7" x14ac:dyDescent="0.3">
      <c r="A145" s="7" t="s">
        <v>228</v>
      </c>
      <c r="B145" s="10">
        <v>14875</v>
      </c>
      <c r="F145" s="7" t="s">
        <v>49</v>
      </c>
      <c r="G145" s="10">
        <v>17</v>
      </c>
    </row>
    <row r="146" spans="1:7" x14ac:dyDescent="0.3">
      <c r="A146" s="7" t="s">
        <v>179</v>
      </c>
      <c r="B146" s="10">
        <v>183600</v>
      </c>
      <c r="F146" s="7" t="s">
        <v>29</v>
      </c>
      <c r="G146" s="10">
        <v>12</v>
      </c>
    </row>
    <row r="147" spans="1:7" x14ac:dyDescent="0.3">
      <c r="A147" s="7" t="s">
        <v>461</v>
      </c>
      <c r="B147" s="10">
        <v>45000</v>
      </c>
      <c r="F147" s="7" t="s">
        <v>84</v>
      </c>
      <c r="G147" s="10">
        <v>18</v>
      </c>
    </row>
    <row r="148" spans="1:7" x14ac:dyDescent="0.3">
      <c r="A148" s="7" t="s">
        <v>591</v>
      </c>
      <c r="B148" s="10">
        <v>113400</v>
      </c>
      <c r="F148" s="7" t="s">
        <v>620</v>
      </c>
      <c r="G148" s="10">
        <v>47</v>
      </c>
    </row>
    <row r="149" spans="1:7" x14ac:dyDescent="0.3">
      <c r="A149" s="7" t="s">
        <v>279</v>
      </c>
      <c r="B149" s="10">
        <v>10260</v>
      </c>
    </row>
    <row r="150" spans="1:7" x14ac:dyDescent="0.3">
      <c r="A150" s="7" t="s">
        <v>187</v>
      </c>
      <c r="B150" s="10">
        <v>205700</v>
      </c>
    </row>
    <row r="151" spans="1:7" x14ac:dyDescent="0.3">
      <c r="A151" s="7" t="s">
        <v>285</v>
      </c>
      <c r="B151" s="10">
        <v>117900</v>
      </c>
    </row>
    <row r="152" spans="1:7" x14ac:dyDescent="0.3">
      <c r="A152" s="7" t="s">
        <v>211</v>
      </c>
      <c r="B152" s="10">
        <v>3825</v>
      </c>
    </row>
    <row r="153" spans="1:7" x14ac:dyDescent="0.3">
      <c r="A153" s="7" t="s">
        <v>506</v>
      </c>
      <c r="B153" s="10">
        <v>38475</v>
      </c>
    </row>
    <row r="154" spans="1:7" x14ac:dyDescent="0.3">
      <c r="A154" s="7" t="s">
        <v>523</v>
      </c>
      <c r="B154" s="10">
        <v>233750</v>
      </c>
    </row>
    <row r="155" spans="1:7" x14ac:dyDescent="0.3">
      <c r="A155" s="7" t="s">
        <v>501</v>
      </c>
      <c r="B155" s="10">
        <v>188100</v>
      </c>
    </row>
    <row r="156" spans="1:7" x14ac:dyDescent="0.3">
      <c r="A156" s="7" t="s">
        <v>132</v>
      </c>
      <c r="B156" s="10">
        <v>5950</v>
      </c>
    </row>
    <row r="157" spans="1:7" x14ac:dyDescent="0.3">
      <c r="A157" s="7" t="s">
        <v>299</v>
      </c>
      <c r="B157" s="10">
        <v>10800</v>
      </c>
    </row>
    <row r="158" spans="1:7" x14ac:dyDescent="0.3">
      <c r="A158" s="7" t="s">
        <v>399</v>
      </c>
      <c r="B158" s="10">
        <v>10200</v>
      </c>
    </row>
    <row r="159" spans="1:7" x14ac:dyDescent="0.3">
      <c r="A159" s="7" t="s">
        <v>208</v>
      </c>
      <c r="B159" s="10">
        <v>9000</v>
      </c>
    </row>
    <row r="160" spans="1:7" x14ac:dyDescent="0.3">
      <c r="A160" s="7" t="s">
        <v>307</v>
      </c>
      <c r="B160" s="10">
        <v>27600</v>
      </c>
    </row>
    <row r="161" spans="1:2" x14ac:dyDescent="0.3">
      <c r="A161" s="7" t="s">
        <v>50</v>
      </c>
      <c r="B161" s="10">
        <v>15300</v>
      </c>
    </row>
    <row r="162" spans="1:2" x14ac:dyDescent="0.3">
      <c r="A162" s="7" t="s">
        <v>192</v>
      </c>
      <c r="B162" s="10">
        <v>12500</v>
      </c>
    </row>
    <row r="163" spans="1:2" x14ac:dyDescent="0.3">
      <c r="A163" s="7" t="s">
        <v>274</v>
      </c>
      <c r="B163" s="10">
        <v>68000</v>
      </c>
    </row>
    <row r="164" spans="1:2" x14ac:dyDescent="0.3">
      <c r="A164" s="7" t="s">
        <v>376</v>
      </c>
      <c r="B164" s="10">
        <v>495000</v>
      </c>
    </row>
    <row r="165" spans="1:2" x14ac:dyDescent="0.3">
      <c r="A165" s="7" t="s">
        <v>373</v>
      </c>
      <c r="B165" s="10">
        <v>9120</v>
      </c>
    </row>
    <row r="166" spans="1:2" x14ac:dyDescent="0.3">
      <c r="A166" s="7" t="s">
        <v>405</v>
      </c>
      <c r="B166" s="10">
        <v>440000</v>
      </c>
    </row>
    <row r="167" spans="1:2" x14ac:dyDescent="0.3">
      <c r="A167" s="7" t="s">
        <v>118</v>
      </c>
      <c r="B167" s="10">
        <v>17100</v>
      </c>
    </row>
    <row r="168" spans="1:2" x14ac:dyDescent="0.3">
      <c r="A168" s="7" t="s">
        <v>608</v>
      </c>
      <c r="B168" s="10">
        <v>86400</v>
      </c>
    </row>
    <row r="169" spans="1:2" x14ac:dyDescent="0.3">
      <c r="A169" s="7" t="s">
        <v>242</v>
      </c>
      <c r="B169" s="10">
        <v>15750</v>
      </c>
    </row>
    <row r="170" spans="1:2" x14ac:dyDescent="0.3">
      <c r="A170" s="7" t="s">
        <v>184</v>
      </c>
      <c r="B170" s="10">
        <v>210000</v>
      </c>
    </row>
    <row r="171" spans="1:2" x14ac:dyDescent="0.3">
      <c r="A171" s="7" t="s">
        <v>145</v>
      </c>
      <c r="B171" s="10">
        <v>45900</v>
      </c>
    </row>
    <row r="172" spans="1:2" x14ac:dyDescent="0.3">
      <c r="A172" s="7" t="s">
        <v>620</v>
      </c>
      <c r="B172" s="10">
        <v>4450145</v>
      </c>
    </row>
  </sheetData>
  <pageMargins left="0.75" right="0.75" top="1" bottom="1" header="0.5" footer="0.5"/>
  <pageSetup orientation="portrait" r:id="rId1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19F2F-1B9E-4C57-A09B-A7EED5844BD8}">
  <dimension ref="A1"/>
  <sheetViews>
    <sheetView tabSelected="1" workbookViewId="0">
      <selection activeCell="O54" sqref="O5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C1F7D-D6D3-4B29-B1EE-E49EC4AED997}">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vt:lpstr>
      <vt:lpstr>Sheet2</vt:lpstr>
      <vt:lpstr>KPI Summary</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Mansi Dalvi</cp:lastModifiedBy>
  <dcterms:created xsi:type="dcterms:W3CDTF">2026-08-27T11:29:58Z</dcterms:created>
  <dcterms:modified xsi:type="dcterms:W3CDTF">2026-09-06T15:17:01Z</dcterms:modified>
</cp:coreProperties>
</file>